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Repaso 1\"/>
    </mc:Choice>
  </mc:AlternateContent>
  <bookViews>
    <workbookView xWindow="0" yWindow="0" windowWidth="12510" windowHeight="7515"/>
  </bookViews>
  <sheets>
    <sheet name="Ejercicio 4-notas" sheetId="1" r:id="rId1"/>
    <sheet name="Ejercicio 4" sheetId="2" r:id="rId2"/>
    <sheet name="Ejercicio 4-busqueda de alumnos" sheetId="3" r:id="rId3"/>
    <sheet name="Ejercicio 4-Busqueda de modulo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4" l="1"/>
  <c r="E23" i="4"/>
  <c r="O10" i="2" l="1"/>
  <c r="O11" i="2"/>
  <c r="O12" i="2"/>
  <c r="O13" i="2"/>
  <c r="O12" i="3" s="1"/>
  <c r="O14" i="2"/>
  <c r="O15" i="2"/>
  <c r="O16" i="2"/>
  <c r="O9" i="2"/>
  <c r="M10" i="2"/>
  <c r="M11" i="2"/>
  <c r="M12" i="2"/>
  <c r="M13" i="2"/>
  <c r="M12" i="3" s="1"/>
  <c r="M14" i="2"/>
  <c r="M15" i="2"/>
  <c r="M16" i="2"/>
  <c r="M17" i="2"/>
  <c r="M9" i="2"/>
  <c r="K10" i="2"/>
  <c r="K11" i="2"/>
  <c r="K12" i="2"/>
  <c r="K13" i="2"/>
  <c r="K12" i="3" s="1"/>
  <c r="K14" i="2"/>
  <c r="K15" i="2"/>
  <c r="K16" i="2"/>
  <c r="K17" i="2"/>
  <c r="K9" i="2"/>
  <c r="I10" i="2"/>
  <c r="I11" i="2"/>
  <c r="I12" i="2"/>
  <c r="I13" i="2"/>
  <c r="I12" i="3" s="1"/>
  <c r="I14" i="2"/>
  <c r="I15" i="2"/>
  <c r="I16" i="2"/>
  <c r="I17" i="2"/>
  <c r="I9" i="2"/>
  <c r="G10" i="2"/>
  <c r="G11" i="2"/>
  <c r="G12" i="2"/>
  <c r="G13" i="2"/>
  <c r="G14" i="2"/>
  <c r="G15" i="2"/>
  <c r="G16" i="2"/>
  <c r="G17" i="2"/>
  <c r="G9" i="2"/>
  <c r="E10" i="2"/>
  <c r="E11" i="2"/>
  <c r="E12" i="2"/>
  <c r="E13" i="2"/>
  <c r="E12" i="3" s="1"/>
  <c r="E14" i="2"/>
  <c r="E15" i="2"/>
  <c r="E16" i="2"/>
  <c r="E17" i="2"/>
  <c r="E9" i="2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13" i="4"/>
  <c r="F13" i="4" s="1"/>
  <c r="I14" i="3"/>
  <c r="F14" i="3"/>
  <c r="G12" i="3"/>
  <c r="N12" i="3"/>
  <c r="L12" i="3"/>
  <c r="J12" i="3"/>
  <c r="H12" i="3"/>
  <c r="F12" i="3"/>
  <c r="D12" i="3"/>
  <c r="P10" i="2"/>
  <c r="P11" i="2"/>
  <c r="P12" i="2"/>
  <c r="P13" i="2"/>
  <c r="P14" i="2"/>
  <c r="P15" i="2"/>
  <c r="P16" i="2"/>
  <c r="P17" i="2"/>
  <c r="P9" i="2"/>
  <c r="N18" i="2"/>
  <c r="L18" i="2"/>
  <c r="J18" i="2"/>
  <c r="H18" i="2"/>
  <c r="F18" i="2"/>
  <c r="D18" i="2"/>
  <c r="O17" i="2"/>
</calcChain>
</file>

<file path=xl/sharedStrings.xml><?xml version="1.0" encoding="utf-8"?>
<sst xmlns="http://schemas.openxmlformats.org/spreadsheetml/2006/main" count="103" uniqueCount="48">
  <si>
    <t>NOTA</t>
  </si>
  <si>
    <t>CALIFICACION</t>
  </si>
  <si>
    <t>A038</t>
  </si>
  <si>
    <t>Aplicaciones ofimaticas</t>
  </si>
  <si>
    <t xml:space="preserve">Sistemas Operatvos Monopuesto </t>
  </si>
  <si>
    <t xml:space="preserve">Montaje Y Mantenimiento de equipos </t>
  </si>
  <si>
    <t>Redes Locales</t>
  </si>
  <si>
    <t xml:space="preserve">Formacion y Orientacion Laboral </t>
  </si>
  <si>
    <t>Ingles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</si>
  <si>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</si>
  <si>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</si>
  <si>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</si>
  <si>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</si>
  <si>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</si>
  <si>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</si>
  <si>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</si>
  <si>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</si>
  <si>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</si>
  <si>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Antonio Melero Rubio</t>
  </si>
  <si>
    <t>Sara Vicente Tejedor</t>
  </si>
  <si>
    <t>Vicente Bruno Perez</t>
  </si>
  <si>
    <t>Erique Gonzalez Tomas</t>
  </si>
  <si>
    <t>Mario Alonso Fernandez</t>
  </si>
  <si>
    <t>Fernando Ruiz Calatraba</t>
  </si>
  <si>
    <t>Ester Teruel Martin</t>
  </si>
  <si>
    <t>Ana Victoria Ruiz Escobar</t>
  </si>
  <si>
    <t>Guillermo Torres Andres</t>
  </si>
  <si>
    <t>Nota</t>
  </si>
  <si>
    <t>Calificacion</t>
  </si>
  <si>
    <t>Muy deficiente</t>
  </si>
  <si>
    <t>Insuficiente</t>
  </si>
  <si>
    <t xml:space="preserve">Bueno </t>
  </si>
  <si>
    <t>Notable</t>
  </si>
  <si>
    <t>Suficiente</t>
  </si>
  <si>
    <t>Sobresaliente</t>
  </si>
  <si>
    <t xml:space="preserve">Introduce el codigo del alumno al buscar </t>
  </si>
  <si>
    <t xml:space="preserve">El alumno </t>
  </si>
  <si>
    <t xml:space="preserve">ha obtenido una media de </t>
  </si>
  <si>
    <t>En el curso 2021/22</t>
  </si>
  <si>
    <t>Busqueda de calificaciones de un alumno</t>
  </si>
  <si>
    <t>Sistemas Microinformaticos y Redes Curso 2021/2022</t>
  </si>
  <si>
    <t>Introduce el codigo del modulo a buscar</t>
  </si>
  <si>
    <t xml:space="preserve">Busqueda de calificaciones de un modulo </t>
  </si>
  <si>
    <t xml:space="preserve">Sistemas Microinformaticos y Redes </t>
  </si>
  <si>
    <t>Curso 2021/2022</t>
  </si>
  <si>
    <t xml:space="preserve">La nota Media del modulo </t>
  </si>
  <si>
    <t xml:space="preserve">es de un </t>
  </si>
  <si>
    <t>En el curso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</si>
</sst>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5" xfId="0" applyFill="1" applyBorder="1"/>
    <xf numFmtId="2" fontId="0" fillId="0" borderId="5" xfId="0" applyNumberFormat="1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1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2" fillId="3" borderId="13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/>
    <xf numFmtId="0" fontId="2" fillId="3" borderId="13" xfId="0" applyFont="1" applyFill="1" applyBorder="1"/>
    <xf numFmtId="2" fontId="2" fillId="3" borderId="13" xfId="0" applyNumberFormat="1" applyFont="1" applyFill="1" applyBorder="1"/>
    <xf numFmtId="0" fontId="2" fillId="3" borderId="14" xfId="0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2" borderId="0" xfId="0" applyFont="1" applyFill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5:C35"/>
  <sheetViews>
    <sheetView tabSelected="1" topLeftCell="A16" workbookViewId="0">
      <selection activeCell="G23" sqref="G23"/>
    </sheetView>
  </sheetViews>
  <sheetFormatPr baseColWidth="10" defaultRowHeight="15" x14ac:dyDescent="0.25"/>
  <cols>
    <col min="3" max="3" width="14.42578125" bestFit="1" customWidth="1"/>
  </cols>
  <sheetData>
    <row r="25" spans="2:3" x14ac:dyDescent="0.25">
      <c r="B25" s="67" t="s">
        <v>0</v>
      </c>
      <c r="C25" s="67" t="s">
        <v>1</v>
      </c>
    </row>
    <row r="26" spans="2:3" x14ac:dyDescent="0.25">
      <c r="B26">
        <v>1</v>
      </c>
      <c r="C26" t="s">
        <v>29</v>
      </c>
    </row>
    <row r="27" spans="2:3" x14ac:dyDescent="0.25">
      <c r="B27">
        <v>2</v>
      </c>
      <c r="C27" t="s">
        <v>29</v>
      </c>
    </row>
    <row r="28" spans="2:3" x14ac:dyDescent="0.25">
      <c r="B28">
        <v>3</v>
      </c>
      <c r="C28" t="s">
        <v>30</v>
      </c>
    </row>
    <row r="29" spans="2:3" x14ac:dyDescent="0.25">
      <c r="B29">
        <v>4</v>
      </c>
      <c r="C29" t="s">
        <v>30</v>
      </c>
    </row>
    <row r="30" spans="2:3" x14ac:dyDescent="0.25">
      <c r="B30">
        <v>5</v>
      </c>
      <c r="C30" t="s">
        <v>33</v>
      </c>
    </row>
    <row r="31" spans="2:3" x14ac:dyDescent="0.25">
      <c r="B31">
        <v>6</v>
      </c>
      <c r="C31" t="s">
        <v>31</v>
      </c>
    </row>
    <row r="32" spans="2:3" x14ac:dyDescent="0.25">
      <c r="B32">
        <v>7</v>
      </c>
      <c r="C32" t="s">
        <v>32</v>
      </c>
    </row>
    <row r="33" spans="2:3" x14ac:dyDescent="0.25">
      <c r="B33">
        <v>8</v>
      </c>
      <c r="C33" t="s">
        <v>32</v>
      </c>
    </row>
    <row r="34" spans="2:3" x14ac:dyDescent="0.25">
      <c r="B34">
        <v>9</v>
      </c>
      <c r="C34" t="s">
        <v>34</v>
      </c>
    </row>
    <row r="35" spans="2:3" x14ac:dyDescent="0.25">
      <c r="B35">
        <v>10</v>
      </c>
      <c r="C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topLeftCell="A13" zoomScale="85" zoomScaleNormal="85" workbookViewId="0">
      <selection activeCell="C2" sqref="C2:P4"/>
    </sheetView>
  </sheetViews>
  <sheetFormatPr baseColWidth="10" defaultRowHeight="15" x14ac:dyDescent="0.25"/>
  <cols>
    <col min="3" max="3" width="17.140625" customWidth="1"/>
    <col min="4" max="4" width="5.5703125" bestFit="1" customWidth="1"/>
    <col min="5" max="5" width="14.7109375" bestFit="1" customWidth="1"/>
    <col min="6" max="6" width="5.5703125" bestFit="1" customWidth="1"/>
    <col min="7" max="7" width="14.7109375" bestFit="1" customWidth="1"/>
    <col min="8" max="8" width="5.5703125" bestFit="1" customWidth="1"/>
    <col min="9" max="9" width="14.7109375" bestFit="1" customWidth="1"/>
    <col min="10" max="10" width="5.5703125" bestFit="1" customWidth="1"/>
    <col min="11" max="11" width="11.85546875" bestFit="1" customWidth="1"/>
    <col min="12" max="12" width="5.5703125" bestFit="1" customWidth="1"/>
    <col min="13" max="13" width="11.85546875" bestFit="1" customWidth="1"/>
    <col min="14" max="14" width="5.5703125" bestFit="1" customWidth="1"/>
    <col min="15" max="15" width="11.85546875" bestFit="1" customWidth="1"/>
  </cols>
  <sheetData>
    <row r="2" spans="2:16" x14ac:dyDescent="0.25">
      <c r="C2" s="57" t="s">
        <v>40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</row>
    <row r="3" spans="2:16" x14ac:dyDescent="0.25"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2"/>
    </row>
    <row r="4" spans="2:16" x14ac:dyDescent="0.25">
      <c r="C4" s="63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2:16" ht="15.75" thickBot="1" x14ac:dyDescent="0.3"/>
    <row r="6" spans="2:16" ht="15.75" thickBot="1" x14ac:dyDescent="0.3">
      <c r="D6" s="16">
        <v>223</v>
      </c>
      <c r="E6" s="16"/>
      <c r="F6" s="16">
        <v>222</v>
      </c>
      <c r="G6" s="16"/>
      <c r="H6" s="16">
        <v>221</v>
      </c>
      <c r="I6" s="16"/>
      <c r="J6" s="16">
        <v>225</v>
      </c>
      <c r="K6" s="16"/>
      <c r="L6" s="16">
        <v>229</v>
      </c>
      <c r="M6" s="16"/>
      <c r="N6" s="16" t="s">
        <v>2</v>
      </c>
      <c r="O6" s="16"/>
    </row>
    <row r="7" spans="2:16" ht="49.5" customHeight="1" thickBot="1" x14ac:dyDescent="0.3">
      <c r="D7" s="12" t="s">
        <v>3</v>
      </c>
      <c r="E7" s="13"/>
      <c r="F7" s="12" t="s">
        <v>4</v>
      </c>
      <c r="G7" s="13"/>
      <c r="H7" s="12" t="s">
        <v>5</v>
      </c>
      <c r="I7" s="13"/>
      <c r="J7" s="12" t="s">
        <v>6</v>
      </c>
      <c r="K7" s="13"/>
      <c r="L7" s="12" t="s">
        <v>7</v>
      </c>
      <c r="M7" s="13"/>
      <c r="N7" s="14" t="s">
        <v>8</v>
      </c>
      <c r="O7" s="15"/>
    </row>
    <row r="8" spans="2:16" ht="15.75" thickBot="1" x14ac:dyDescent="0.3">
      <c r="D8" s="3" t="s">
        <v>27</v>
      </c>
      <c r="E8" s="3" t="s">
        <v>28</v>
      </c>
      <c r="F8" s="3" t="s">
        <v>27</v>
      </c>
      <c r="G8" s="3" t="s">
        <v>28</v>
      </c>
      <c r="H8" s="3" t="s">
        <v>27</v>
      </c>
      <c r="I8" s="3" t="s">
        <v>28</v>
      </c>
      <c r="J8" s="3" t="s">
        <v>27</v>
      </c>
      <c r="K8" s="3" t="s">
        <v>28</v>
      </c>
      <c r="L8" s="3" t="s">
        <v>27</v>
      </c>
      <c r="M8" s="3" t="s">
        <v>28</v>
      </c>
      <c r="N8" s="3" t="s">
        <v>27</v>
      </c>
      <c r="O8" s="3" t="s">
        <v>28</v>
      </c>
    </row>
    <row r="9" spans="2:16" ht="30.75" thickBot="1" x14ac:dyDescent="0.3">
      <c r="B9" s="3" t="s">
        <v>9</v>
      </c>
      <c r="C9" s="4" t="s">
        <v>18</v>
      </c>
      <c r="D9" s="3">
        <v>2</v>
      </c>
      <c r="E9" s="3" t="str">
        <f>VLOOKUP(D9,'Ejercicio 4-notas'!$B$26:$C$35,2,FALSE)</f>
        <v>Muy deficiente</v>
      </c>
      <c r="F9" s="3">
        <v>6</v>
      </c>
      <c r="G9" s="3" t="str">
        <f>VLOOKUP(F9,'Ejercicio 4-notas'!$B$26:$C$35,2,FALSE)</f>
        <v xml:space="preserve">Bueno </v>
      </c>
      <c r="H9" s="3">
        <v>5</v>
      </c>
      <c r="I9" s="3" t="str">
        <f>VLOOKUP(H9,'Ejercicio 4-notas'!$B$26:$C$35,2)</f>
        <v>Suficiente</v>
      </c>
      <c r="J9" s="3">
        <v>3</v>
      </c>
      <c r="K9" s="3" t="str">
        <f>VLOOKUP(J9,'Ejercicio 4-notas'!$B$26:$C$35,2,FALSE)</f>
        <v>Insuficiente</v>
      </c>
      <c r="L9" s="3">
        <v>3</v>
      </c>
      <c r="M9" s="3" t="str">
        <f>VLOOKUP(L9,'Ejercicio 4-notas'!$B$26:$C$35,2,FALSE)</f>
        <v>Insuficiente</v>
      </c>
      <c r="N9" s="3">
        <v>5</v>
      </c>
      <c r="O9" s="3" t="str">
        <f>VLOOKUP(N9,'Ejercicio 4-notas'!$B$26:$C$35,2,FALSE)</f>
        <v>Suficiente</v>
      </c>
      <c r="P9" s="7">
        <f>(D9+F9+H9+J9+L9+N9)/6</f>
        <v>4</v>
      </c>
    </row>
    <row r="10" spans="2:16" ht="30.75" thickBot="1" x14ac:dyDescent="0.3">
      <c r="B10" s="3" t="s">
        <v>10</v>
      </c>
      <c r="C10" s="4" t="s">
        <v>19</v>
      </c>
      <c r="D10" s="3">
        <v>8</v>
      </c>
      <c r="E10" s="3" t="str">
        <f>VLOOKUP(D10,'Ejercicio 4-notas'!$B$26:$C$35,2,FALSE)</f>
        <v>Notable</v>
      </c>
      <c r="F10" s="3">
        <v>9</v>
      </c>
      <c r="G10" s="3" t="str">
        <f>VLOOKUP(F10,'Ejercicio 4-notas'!$B$26:$C$35,2,FALSE)</f>
        <v>Sobresaliente</v>
      </c>
      <c r="H10" s="3">
        <v>5</v>
      </c>
      <c r="I10" s="3" t="str">
        <f>VLOOKUP(H10,'Ejercicio 4-notas'!$B$26:$C$35,2)</f>
        <v>Suficiente</v>
      </c>
      <c r="J10" s="3">
        <v>4</v>
      </c>
      <c r="K10" s="3" t="str">
        <f>VLOOKUP(J10,'Ejercicio 4-notas'!$B$26:$C$35,2,FALSE)</f>
        <v>Insuficiente</v>
      </c>
      <c r="L10" s="3">
        <v>7</v>
      </c>
      <c r="M10" s="3" t="str">
        <f>VLOOKUP(L10,'Ejercicio 4-notas'!$B$26:$C$35,2,FALSE)</f>
        <v>Notable</v>
      </c>
      <c r="N10" s="3">
        <v>6</v>
      </c>
      <c r="O10" s="3" t="str">
        <f>VLOOKUP(N10,'Ejercicio 4-notas'!$B$26:$C$35,2,FALSE)</f>
        <v xml:space="preserve">Bueno </v>
      </c>
      <c r="P10" s="7">
        <f t="shared" ref="P10:P17" si="0">(D10+F10+H10+J10+L10+N10)/6</f>
        <v>6.5</v>
      </c>
    </row>
    <row r="11" spans="2:16" ht="30.75" thickBot="1" x14ac:dyDescent="0.3">
      <c r="B11" s="3" t="s">
        <v>11</v>
      </c>
      <c r="C11" s="4" t="s">
        <v>20</v>
      </c>
      <c r="D11" s="3">
        <v>3</v>
      </c>
      <c r="E11" s="3" t="str">
        <f>VLOOKUP(D11,'Ejercicio 4-notas'!$B$26:$C$35,2,FALSE)</f>
        <v>Insuficiente</v>
      </c>
      <c r="F11" s="3">
        <v>9</v>
      </c>
      <c r="G11" s="3" t="str">
        <f>VLOOKUP(F11,'Ejercicio 4-notas'!$B$26:$C$35,2,FALSE)</f>
        <v>Sobresaliente</v>
      </c>
      <c r="H11" s="3">
        <v>6</v>
      </c>
      <c r="I11" s="3" t="str">
        <f>VLOOKUP(H11,'Ejercicio 4-notas'!$B$26:$C$35,2)</f>
        <v xml:space="preserve">Bueno </v>
      </c>
      <c r="J11" s="3">
        <v>8</v>
      </c>
      <c r="K11" s="3" t="str">
        <f>VLOOKUP(J11,'Ejercicio 4-notas'!$B$26:$C$35,2,FALSE)</f>
        <v>Notable</v>
      </c>
      <c r="L11" s="3">
        <v>6</v>
      </c>
      <c r="M11" s="3" t="str">
        <f>VLOOKUP(L11,'Ejercicio 4-notas'!$B$26:$C$35,2,FALSE)</f>
        <v xml:space="preserve">Bueno </v>
      </c>
      <c r="N11" s="3">
        <v>8</v>
      </c>
      <c r="O11" s="3" t="str">
        <f>VLOOKUP(N11,'Ejercicio 4-notas'!$B$26:$C$35,2,FALSE)</f>
        <v>Notable</v>
      </c>
      <c r="P11" s="7">
        <f t="shared" si="0"/>
        <v>6.666666666666667</v>
      </c>
    </row>
    <row r="12" spans="2:16" ht="30.75" thickBot="1" x14ac:dyDescent="0.3">
      <c r="B12" s="3" t="s">
        <v>12</v>
      </c>
      <c r="C12" s="5" t="s">
        <v>21</v>
      </c>
      <c r="D12" s="3">
        <v>6</v>
      </c>
      <c r="E12" s="3" t="str">
        <f>VLOOKUP(D12,'Ejercicio 4-notas'!$B$26:$C$35,2,FALSE)</f>
        <v xml:space="preserve">Bueno </v>
      </c>
      <c r="F12" s="6">
        <v>10</v>
      </c>
      <c r="G12" s="3" t="str">
        <f>VLOOKUP(F12,'Ejercicio 4-notas'!$B$26:$C$35,2,FALSE)</f>
        <v>Sobresaliente</v>
      </c>
      <c r="H12" s="6">
        <v>7</v>
      </c>
      <c r="I12" s="3" t="str">
        <f>VLOOKUP(H12,'Ejercicio 4-notas'!$B$26:$C$35,2)</f>
        <v>Notable</v>
      </c>
      <c r="J12" s="6">
        <v>7</v>
      </c>
      <c r="K12" s="3" t="str">
        <f>VLOOKUP(J12,'Ejercicio 4-notas'!$B$26:$C$35,2,FALSE)</f>
        <v>Notable</v>
      </c>
      <c r="L12" s="6">
        <v>4</v>
      </c>
      <c r="M12" s="3" t="str">
        <f>VLOOKUP(L12,'Ejercicio 4-notas'!$B$26:$C$35,2,FALSE)</f>
        <v>Insuficiente</v>
      </c>
      <c r="N12" s="6">
        <v>4</v>
      </c>
      <c r="O12" s="3" t="str">
        <f>VLOOKUP(N12,'Ejercicio 4-notas'!$B$26:$C$35,2,FALSE)</f>
        <v>Insuficiente</v>
      </c>
      <c r="P12" s="7">
        <f t="shared" si="0"/>
        <v>6.333333333333333</v>
      </c>
    </row>
    <row r="13" spans="2:16" ht="30.75" thickBot="1" x14ac:dyDescent="0.3">
      <c r="B13" s="3" t="s">
        <v>13</v>
      </c>
      <c r="C13" s="5" t="s">
        <v>22</v>
      </c>
      <c r="D13" s="3">
        <v>7</v>
      </c>
      <c r="E13" s="3" t="str">
        <f>VLOOKUP(D13,'Ejercicio 4-notas'!$B$26:$C$35,2,FALSE)</f>
        <v>Notable</v>
      </c>
      <c r="F13" s="6">
        <v>8</v>
      </c>
      <c r="G13" s="3" t="str">
        <f>VLOOKUP(F13,'Ejercicio 4-notas'!$B$26:$C$35,2,FALSE)</f>
        <v>Notable</v>
      </c>
      <c r="H13" s="6">
        <v>8</v>
      </c>
      <c r="I13" s="3" t="str">
        <f>VLOOKUP(H13,'Ejercicio 4-notas'!$B$26:$C$35,2)</f>
        <v>Notable</v>
      </c>
      <c r="J13" s="6">
        <v>6</v>
      </c>
      <c r="K13" s="3" t="str">
        <f>VLOOKUP(J13,'Ejercicio 4-notas'!$B$26:$C$35,2,FALSE)</f>
        <v xml:space="preserve">Bueno </v>
      </c>
      <c r="L13" s="6">
        <v>2</v>
      </c>
      <c r="M13" s="3" t="str">
        <f>VLOOKUP(L13,'Ejercicio 4-notas'!$B$26:$C$35,2,FALSE)</f>
        <v>Muy deficiente</v>
      </c>
      <c r="N13" s="6">
        <v>7</v>
      </c>
      <c r="O13" s="3" t="str">
        <f>VLOOKUP(N13,'Ejercicio 4-notas'!$B$26:$C$35,2,FALSE)</f>
        <v>Notable</v>
      </c>
      <c r="P13" s="7">
        <f t="shared" si="0"/>
        <v>6.333333333333333</v>
      </c>
    </row>
    <row r="14" spans="2:16" ht="30.75" thickBot="1" x14ac:dyDescent="0.3">
      <c r="B14" s="3" t="s">
        <v>14</v>
      </c>
      <c r="C14" s="5" t="s">
        <v>23</v>
      </c>
      <c r="D14" s="3">
        <v>8</v>
      </c>
      <c r="E14" s="3" t="str">
        <f>VLOOKUP(D14,'Ejercicio 4-notas'!$B$26:$C$35,2,FALSE)</f>
        <v>Notable</v>
      </c>
      <c r="F14" s="6">
        <v>4</v>
      </c>
      <c r="G14" s="3" t="str">
        <f>VLOOKUP(F14,'Ejercicio 4-notas'!$B$26:$C$35,2,FALSE)</f>
        <v>Insuficiente</v>
      </c>
      <c r="H14" s="6">
        <v>2</v>
      </c>
      <c r="I14" s="3" t="str">
        <f>VLOOKUP(H14,'Ejercicio 4-notas'!$B$26:$C$35,2)</f>
        <v>Muy deficiente</v>
      </c>
      <c r="J14" s="6">
        <v>5</v>
      </c>
      <c r="K14" s="3" t="str">
        <f>VLOOKUP(J14,'Ejercicio 4-notas'!$B$26:$C$35,2,FALSE)</f>
        <v>Suficiente</v>
      </c>
      <c r="L14" s="6">
        <v>5</v>
      </c>
      <c r="M14" s="3" t="str">
        <f>VLOOKUP(L14,'Ejercicio 4-notas'!$B$26:$C$35,2,FALSE)</f>
        <v>Suficiente</v>
      </c>
      <c r="N14" s="6">
        <v>5</v>
      </c>
      <c r="O14" s="3" t="str">
        <f>VLOOKUP(N14,'Ejercicio 4-notas'!$B$26:$C$35,2,FALSE)</f>
        <v>Suficiente</v>
      </c>
      <c r="P14" s="7">
        <f t="shared" si="0"/>
        <v>4.833333333333333</v>
      </c>
    </row>
    <row r="15" spans="2:16" ht="30.75" thickBot="1" x14ac:dyDescent="0.3">
      <c r="B15" s="3" t="s">
        <v>15</v>
      </c>
      <c r="C15" s="5" t="s">
        <v>24</v>
      </c>
      <c r="D15" s="3">
        <v>9</v>
      </c>
      <c r="E15" s="3" t="str">
        <f>VLOOKUP(D15,'Ejercicio 4-notas'!$B$26:$C$35,2,FALSE)</f>
        <v>Sobresaliente</v>
      </c>
      <c r="F15" s="6">
        <v>6</v>
      </c>
      <c r="G15" s="3" t="str">
        <f>VLOOKUP(F15,'Ejercicio 4-notas'!$B$26:$C$35,2,FALSE)</f>
        <v xml:space="preserve">Bueno </v>
      </c>
      <c r="H15" s="6">
        <v>7</v>
      </c>
      <c r="I15" s="3" t="str">
        <f>VLOOKUP(H15,'Ejercicio 4-notas'!$B$26:$C$35,2)</f>
        <v>Notable</v>
      </c>
      <c r="J15" s="6">
        <v>2</v>
      </c>
      <c r="K15" s="3" t="str">
        <f>VLOOKUP(J15,'Ejercicio 4-notas'!$B$26:$C$35,2,FALSE)</f>
        <v>Muy deficiente</v>
      </c>
      <c r="L15" s="6">
        <v>7</v>
      </c>
      <c r="M15" s="3" t="str">
        <f>VLOOKUP(L15,'Ejercicio 4-notas'!$B$26:$C$35,2,FALSE)</f>
        <v>Notable</v>
      </c>
      <c r="N15" s="6">
        <v>7</v>
      </c>
      <c r="O15" s="3" t="str">
        <f>VLOOKUP(N15,'Ejercicio 4-notas'!$B$26:$C$35,2,FALSE)</f>
        <v>Notable</v>
      </c>
      <c r="P15" s="7">
        <f t="shared" si="0"/>
        <v>6.333333333333333</v>
      </c>
    </row>
    <row r="16" spans="2:16" ht="30.75" thickBot="1" x14ac:dyDescent="0.3">
      <c r="B16" s="3" t="s">
        <v>16</v>
      </c>
      <c r="C16" s="5" t="s">
        <v>25</v>
      </c>
      <c r="D16" s="3">
        <v>4</v>
      </c>
      <c r="E16" s="3" t="str">
        <f>VLOOKUP(D16,'Ejercicio 4-notas'!$B$26:$C$35,2,FALSE)</f>
        <v>Insuficiente</v>
      </c>
      <c r="F16" s="6">
        <v>5</v>
      </c>
      <c r="G16" s="3" t="str">
        <f>VLOOKUP(F16,'Ejercicio 4-notas'!$B$26:$C$35,2,FALSE)</f>
        <v>Suficiente</v>
      </c>
      <c r="H16" s="6">
        <v>3</v>
      </c>
      <c r="I16" s="3" t="str">
        <f>VLOOKUP(H16,'Ejercicio 4-notas'!$B$26:$C$35,2)</f>
        <v>Insuficiente</v>
      </c>
      <c r="J16" s="6">
        <v>7</v>
      </c>
      <c r="K16" s="3" t="str">
        <f>VLOOKUP(J16,'Ejercicio 4-notas'!$B$26:$C$35,2,FALSE)</f>
        <v>Notable</v>
      </c>
      <c r="L16" s="6">
        <v>9</v>
      </c>
      <c r="M16" s="3" t="str">
        <f>VLOOKUP(L16,'Ejercicio 4-notas'!$B$26:$C$35,2,FALSE)</f>
        <v>Sobresaliente</v>
      </c>
      <c r="N16" s="6">
        <v>6</v>
      </c>
      <c r="O16" s="3" t="str">
        <f>VLOOKUP(N16,'Ejercicio 4-notas'!$B$26:$C$35,2,FALSE)</f>
        <v xml:space="preserve">Bueno </v>
      </c>
      <c r="P16" s="7">
        <f t="shared" si="0"/>
        <v>5.666666666666667</v>
      </c>
    </row>
    <row r="17" spans="2:16" ht="30.75" thickBot="1" x14ac:dyDescent="0.3">
      <c r="B17" s="3" t="s">
        <v>17</v>
      </c>
      <c r="C17" s="4" t="s">
        <v>26</v>
      </c>
      <c r="D17" s="3">
        <v>6</v>
      </c>
      <c r="E17" s="3" t="str">
        <f>VLOOKUP(D17,'Ejercicio 4-notas'!$B$26:$C$35,2,FALSE)</f>
        <v xml:space="preserve">Bueno </v>
      </c>
      <c r="F17" s="3">
        <v>1</v>
      </c>
      <c r="G17" s="3" t="str">
        <f>VLOOKUP(F17,'Ejercicio 4-notas'!$B$26:$C$35,2,FALSE)</f>
        <v>Muy deficiente</v>
      </c>
      <c r="H17" s="3">
        <v>5</v>
      </c>
      <c r="I17" s="3" t="str">
        <f>VLOOKUP(H17,'Ejercicio 4-notas'!$B$26:$C$35,2)</f>
        <v>Suficiente</v>
      </c>
      <c r="J17" s="3">
        <v>4</v>
      </c>
      <c r="K17" s="3" t="str">
        <f>VLOOKUP(J17,'Ejercicio 4-notas'!$B$26:$C$35,2,FALSE)</f>
        <v>Insuficiente</v>
      </c>
      <c r="L17" s="3">
        <v>4</v>
      </c>
      <c r="M17" s="3" t="str">
        <f>VLOOKUP(L17,'Ejercicio 4-notas'!$B$26:$C$35,2,FALSE)</f>
        <v>Insuficiente</v>
      </c>
      <c r="N17" s="3">
        <v>5</v>
      </c>
      <c r="O17" s="3" t="str">
        <f>VLOOKUP(N17,'Ejercicio 4-notas'!B29:C38,2,FALSE)</f>
        <v>Suficiente</v>
      </c>
      <c r="P17" s="7">
        <f t="shared" si="0"/>
        <v>4.166666666666667</v>
      </c>
    </row>
    <row r="18" spans="2:16" x14ac:dyDescent="0.25">
      <c r="D18" s="9">
        <f>(D9+D10+D11+D12+D13+D14+D15+D16+D17)/9</f>
        <v>5.8888888888888893</v>
      </c>
      <c r="E18" s="1"/>
      <c r="F18" s="9">
        <f>(F9+F10+F11+F12+F13+F14+F15+F16+F17)/9</f>
        <v>6.4444444444444446</v>
      </c>
      <c r="G18" s="2"/>
      <c r="H18" s="9">
        <f>(H9+H10+H11+H12+H13+H14+H15+H16+H17)/9</f>
        <v>5.333333333333333</v>
      </c>
      <c r="I18" s="2"/>
      <c r="J18" s="9">
        <f>(J9+J10+J11+J12+J13+J14+J15+J16+J17)/9</f>
        <v>5.1111111111111107</v>
      </c>
      <c r="K18" s="9"/>
      <c r="L18" s="9">
        <f>(L9+L10+L11+L12+L13+L14+L15+L16+L17)/9</f>
        <v>5.2222222222222223</v>
      </c>
      <c r="M18" s="9"/>
      <c r="N18" s="9">
        <f>(N9+N10+N11+N12+N13+N14+N15+N16+N17)/9</f>
        <v>5.8888888888888893</v>
      </c>
      <c r="O18" s="2"/>
    </row>
    <row r="19" spans="2:16" ht="15.75" thickBot="1" x14ac:dyDescent="0.3">
      <c r="D19" s="10"/>
      <c r="E19" s="1"/>
      <c r="F19" s="10"/>
      <c r="G19" s="2"/>
      <c r="H19" s="10"/>
      <c r="I19" s="2"/>
      <c r="J19" s="10"/>
      <c r="K19" s="11"/>
      <c r="L19" s="10"/>
      <c r="M19" s="11"/>
      <c r="N19" s="10"/>
      <c r="O19" s="2"/>
    </row>
  </sheetData>
  <mergeCells count="21">
    <mergeCell ref="N6:O6"/>
    <mergeCell ref="C2:P4"/>
    <mergeCell ref="D6:E6"/>
    <mergeCell ref="F6:G6"/>
    <mergeCell ref="H6:I6"/>
    <mergeCell ref="J6:K6"/>
    <mergeCell ref="L6:M6"/>
    <mergeCell ref="N18:N19"/>
    <mergeCell ref="K18:K19"/>
    <mergeCell ref="M18:M19"/>
    <mergeCell ref="D7:E7"/>
    <mergeCell ref="F7:G7"/>
    <mergeCell ref="H7:I7"/>
    <mergeCell ref="J7:K7"/>
    <mergeCell ref="N7:O7"/>
    <mergeCell ref="L7:M7"/>
    <mergeCell ref="D18:D19"/>
    <mergeCell ref="F18:F19"/>
    <mergeCell ref="H18:H19"/>
    <mergeCell ref="J18:J19"/>
    <mergeCell ref="L18:L19"/>
  </mergeCells>
  <conditionalFormatting sqref="D9:P17">
    <cfRule type="cellIs" dxfId="2" priority="4" operator="lessThan">
      <formula>5</formula>
    </cfRule>
  </conditionalFormatting>
  <conditionalFormatting sqref="D9:P19">
    <cfRule type="cellIs" dxfId="1" priority="1" operator="equal">
      <formula>"Insuficiente"</formula>
    </cfRule>
    <cfRule type="cellIs" dxfId="0" priority="2" operator="equal">
      <formula>"Muy deficiente"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4"/>
  <sheetViews>
    <sheetView zoomScale="85" zoomScaleNormal="85" workbookViewId="0">
      <selection activeCell="C12" sqref="C12"/>
    </sheetView>
  </sheetViews>
  <sheetFormatPr baseColWidth="10" defaultRowHeight="15" x14ac:dyDescent="0.25"/>
  <cols>
    <col min="2" max="2" width="14.5703125" customWidth="1"/>
    <col min="3" max="3" width="17.28515625" customWidth="1"/>
    <col min="5" max="5" width="11.85546875" bestFit="1" customWidth="1"/>
    <col min="6" max="6" width="20.140625" bestFit="1" customWidth="1"/>
    <col min="7" max="7" width="14.140625" bestFit="1" customWidth="1"/>
    <col min="11" max="11" width="12.28515625" bestFit="1" customWidth="1"/>
  </cols>
  <sheetData>
    <row r="2" spans="3:15" x14ac:dyDescent="0.25">
      <c r="D2" s="57" t="s">
        <v>40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3:15" x14ac:dyDescent="0.25">
      <c r="D3" s="60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</row>
    <row r="4" spans="3:15" x14ac:dyDescent="0.25">
      <c r="D4" s="60"/>
      <c r="E4" s="61"/>
      <c r="F4" s="61"/>
      <c r="G4" s="61"/>
      <c r="H4" s="61"/>
      <c r="I4" s="61"/>
      <c r="J4" s="61"/>
      <c r="K4" s="61"/>
      <c r="L4" s="61"/>
      <c r="M4" s="61"/>
      <c r="N4" s="61"/>
      <c r="O4" s="62"/>
    </row>
    <row r="5" spans="3:15" x14ac:dyDescent="0.25">
      <c r="D5" s="63"/>
      <c r="E5" s="64"/>
      <c r="F5" s="64"/>
      <c r="G5" s="64"/>
      <c r="H5" s="64"/>
      <c r="I5" s="64"/>
      <c r="J5" s="64"/>
      <c r="K5" s="64"/>
      <c r="L5" s="64"/>
      <c r="M5" s="64"/>
      <c r="N5" s="64"/>
      <c r="O5" s="65"/>
    </row>
    <row r="7" spans="3:15" x14ac:dyDescent="0.25">
      <c r="D7" s="56" t="s">
        <v>39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3:15" x14ac:dyDescent="0.25">
      <c r="D8" s="39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</row>
    <row r="10" spans="3:15" ht="73.5" customHeight="1" x14ac:dyDescent="0.25">
      <c r="C10" s="50" t="s">
        <v>35</v>
      </c>
      <c r="D10" s="17" t="s">
        <v>3</v>
      </c>
      <c r="E10" s="17"/>
      <c r="F10" s="17" t="s">
        <v>4</v>
      </c>
      <c r="G10" s="17"/>
      <c r="H10" s="17" t="s">
        <v>5</v>
      </c>
      <c r="I10" s="17"/>
      <c r="J10" s="17" t="s">
        <v>6</v>
      </c>
      <c r="K10" s="17"/>
      <c r="L10" s="17" t="s">
        <v>7</v>
      </c>
      <c r="M10" s="17"/>
      <c r="N10" s="18" t="s">
        <v>8</v>
      </c>
      <c r="O10" s="18"/>
    </row>
    <row r="11" spans="3:15" x14ac:dyDescent="0.25">
      <c r="C11" s="51"/>
      <c r="D11" s="8" t="s">
        <v>27</v>
      </c>
      <c r="E11" s="8" t="s">
        <v>28</v>
      </c>
      <c r="F11" s="8" t="s">
        <v>27</v>
      </c>
      <c r="G11" s="8" t="s">
        <v>28</v>
      </c>
      <c r="H11" s="8" t="s">
        <v>27</v>
      </c>
      <c r="I11" s="8" t="s">
        <v>28</v>
      </c>
      <c r="J11" s="8" t="s">
        <v>27</v>
      </c>
      <c r="K11" s="8" t="s">
        <v>28</v>
      </c>
      <c r="L11" s="8" t="s">
        <v>27</v>
      </c>
      <c r="M11" s="8" t="s">
        <v>28</v>
      </c>
      <c r="N11" s="8" t="s">
        <v>27</v>
      </c>
      <c r="O11" s="8" t="s">
        <v>28</v>
      </c>
    </row>
    <row r="12" spans="3:15" x14ac:dyDescent="0.25">
      <c r="C12" s="66" t="s">
        <v>13</v>
      </c>
      <c r="D12" s="8">
        <f>VLOOKUP(C12,'Ejercicio 4'!B9:P17,3,FALSE)</f>
        <v>7</v>
      </c>
      <c r="E12" s="8" t="str">
        <f>VLOOKUP(C12,'Ejercicio 4'!B9:P17,4)</f>
        <v>Notable</v>
      </c>
      <c r="F12" s="8">
        <f>VLOOKUP(C12,'Ejercicio 4'!B9:P17,5)</f>
        <v>8</v>
      </c>
      <c r="G12" s="8" t="str">
        <f>VLOOKUP(C12,'Ejercicio 4'!B9:P17,6)</f>
        <v>Notable</v>
      </c>
      <c r="H12" s="8">
        <f>VLOOKUP(C12,'Ejercicio 4'!B9:P17,7)</f>
        <v>8</v>
      </c>
      <c r="I12" s="8" t="str">
        <f>VLOOKUP(C12,'Ejercicio 4'!B9:P17,8)</f>
        <v>Notable</v>
      </c>
      <c r="J12" s="8">
        <f>VLOOKUP(C12,'Ejercicio 4'!B9:P17,9)</f>
        <v>6</v>
      </c>
      <c r="K12" s="8" t="str">
        <f>VLOOKUP(C12,'Ejercicio 4'!B9:P17,10)</f>
        <v xml:space="preserve">Bueno </v>
      </c>
      <c r="L12" s="8">
        <f>VLOOKUP(C12,'Ejercicio 4'!B9:P17,11)</f>
        <v>2</v>
      </c>
      <c r="M12" s="8" t="str">
        <f>VLOOKUP(C12,'Ejercicio 4'!B9:P17,12)</f>
        <v>Muy deficiente</v>
      </c>
      <c r="N12" s="8">
        <f>VLOOKUP(C12,'Ejercicio 4'!B9:P17,13)</f>
        <v>7</v>
      </c>
      <c r="O12" s="8" t="str">
        <f>VLOOKUP(C12,'Ejercicio 4'!B9:P17,14)</f>
        <v>Notable</v>
      </c>
    </row>
    <row r="14" spans="3:15" x14ac:dyDescent="0.25">
      <c r="D14" s="52"/>
      <c r="E14" s="53" t="s">
        <v>36</v>
      </c>
      <c r="F14" s="53" t="str">
        <f>VLOOKUP(C12,'Ejercicio 4'!B9:P17,2)</f>
        <v>Mario Alonso Fernandez</v>
      </c>
      <c r="G14" s="43" t="s">
        <v>37</v>
      </c>
      <c r="H14" s="43"/>
      <c r="I14" s="54">
        <f>VLOOKUP(C12,'Ejercicio 4'!B9:P17,15)</f>
        <v>6.333333333333333</v>
      </c>
      <c r="J14" s="53" t="s">
        <v>38</v>
      </c>
      <c r="K14" s="53"/>
      <c r="L14" s="53"/>
      <c r="M14" s="53"/>
      <c r="N14" s="53"/>
      <c r="O14" s="55"/>
    </row>
  </sheetData>
  <mergeCells count="10">
    <mergeCell ref="D2:O5"/>
    <mergeCell ref="J10:K10"/>
    <mergeCell ref="L10:M10"/>
    <mergeCell ref="N10:O10"/>
    <mergeCell ref="D7:O8"/>
    <mergeCell ref="C10:C11"/>
    <mergeCell ref="G14:H14"/>
    <mergeCell ref="D10:E10"/>
    <mergeCell ref="F10:G10"/>
    <mergeCell ref="H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49"/>
  <sheetViews>
    <sheetView topLeftCell="A4" workbookViewId="0">
      <selection activeCell="H23" sqref="D23:H23"/>
    </sheetView>
  </sheetViews>
  <sheetFormatPr baseColWidth="10" defaultRowHeight="15" x14ac:dyDescent="0.25"/>
  <cols>
    <col min="4" max="4" width="24.5703125" bestFit="1" customWidth="1"/>
    <col min="5" max="5" width="22" bestFit="1" customWidth="1"/>
    <col min="6" max="6" width="14.42578125" bestFit="1" customWidth="1"/>
  </cols>
  <sheetData>
    <row r="2" spans="3:19" x14ac:dyDescent="0.25">
      <c r="C2" s="24" t="s">
        <v>43</v>
      </c>
      <c r="D2" s="25"/>
      <c r="E2" s="25"/>
      <c r="F2" s="26"/>
    </row>
    <row r="3" spans="3:19" x14ac:dyDescent="0.25">
      <c r="C3" s="27"/>
      <c r="D3" s="28"/>
      <c r="E3" s="28"/>
      <c r="F3" s="29"/>
    </row>
    <row r="4" spans="3:19" x14ac:dyDescent="0.25">
      <c r="C4" s="30" t="s">
        <v>44</v>
      </c>
      <c r="D4" s="31"/>
      <c r="E4" s="31"/>
      <c r="F4" s="32"/>
      <c r="G4" s="19"/>
      <c r="H4" s="19"/>
    </row>
    <row r="5" spans="3:19" x14ac:dyDescent="0.25">
      <c r="C5" s="33"/>
      <c r="D5" s="34"/>
      <c r="E5" s="34"/>
      <c r="F5" s="35"/>
      <c r="G5" s="19"/>
      <c r="H5" s="19"/>
    </row>
    <row r="6" spans="3:19" x14ac:dyDescent="0.25">
      <c r="C6" s="36"/>
      <c r="D6" s="36"/>
      <c r="E6" s="36"/>
      <c r="F6" s="36"/>
      <c r="G6" s="19"/>
      <c r="H6" s="19"/>
    </row>
    <row r="7" spans="3:19" x14ac:dyDescent="0.25">
      <c r="C7" s="24" t="s">
        <v>42</v>
      </c>
      <c r="D7" s="37"/>
      <c r="E7" s="37"/>
      <c r="F7" s="38"/>
      <c r="G7" s="19"/>
      <c r="H7" s="19"/>
    </row>
    <row r="8" spans="3:19" x14ac:dyDescent="0.25">
      <c r="C8" s="39"/>
      <c r="D8" s="40"/>
      <c r="E8" s="40"/>
      <c r="F8" s="41"/>
      <c r="G8" s="19"/>
      <c r="H8" s="19"/>
    </row>
    <row r="9" spans="3:19" x14ac:dyDescent="0.25">
      <c r="C9" s="36"/>
      <c r="D9" s="36"/>
      <c r="E9" s="36"/>
      <c r="F9" s="36"/>
      <c r="G9" s="19"/>
      <c r="H9" s="19"/>
    </row>
    <row r="10" spans="3:19" x14ac:dyDescent="0.25">
      <c r="C10" s="42" t="s">
        <v>41</v>
      </c>
      <c r="D10" s="43"/>
      <c r="E10" s="44"/>
      <c r="F10" s="45" t="s">
        <v>2</v>
      </c>
      <c r="G10" s="19"/>
      <c r="H10" s="19"/>
    </row>
    <row r="11" spans="3:19" x14ac:dyDescent="0.25">
      <c r="C11" s="19"/>
      <c r="D11" s="19"/>
      <c r="E11" s="19"/>
      <c r="F11" s="19"/>
      <c r="G11" s="19"/>
      <c r="H11" s="19"/>
    </row>
    <row r="12" spans="3:19" x14ac:dyDescent="0.25">
      <c r="C12" s="19"/>
      <c r="D12" s="19"/>
      <c r="E12" s="20" t="s">
        <v>27</v>
      </c>
      <c r="F12" s="20" t="s">
        <v>28</v>
      </c>
      <c r="G12" s="19"/>
      <c r="H12" s="19"/>
    </row>
    <row r="13" spans="3:19" x14ac:dyDescent="0.25">
      <c r="C13" s="20" t="s">
        <v>9</v>
      </c>
      <c r="D13" s="22" t="s">
        <v>18</v>
      </c>
      <c r="E13" s="21">
        <f>HLOOKUP($F$10,'Ejercicio 4'!$D$6:$O$17,S18,FALSE)</f>
        <v>5</v>
      </c>
      <c r="F13" s="21" t="str">
        <f>VLOOKUP(E13,'Ejercicio 4-notas'!$B$26:$C$35,2,FALSE)</f>
        <v>Suficiente</v>
      </c>
      <c r="G13" s="19"/>
      <c r="H13" s="19"/>
    </row>
    <row r="14" spans="3:19" x14ac:dyDescent="0.25">
      <c r="C14" s="20" t="s">
        <v>10</v>
      </c>
      <c r="D14" s="22" t="s">
        <v>19</v>
      </c>
      <c r="E14" s="21">
        <f>HLOOKUP($F$10,'Ejercicio 4'!$D$6:$O$17,S19,FALSE)</f>
        <v>6</v>
      </c>
      <c r="F14" s="21" t="str">
        <f>VLOOKUP(E14,'Ejercicio 4-notas'!$B$26:$C$35,2,FALSE)</f>
        <v xml:space="preserve">Bueno </v>
      </c>
      <c r="G14" s="19"/>
      <c r="H14" s="19"/>
    </row>
    <row r="15" spans="3:19" x14ac:dyDescent="0.25">
      <c r="C15" s="20" t="s">
        <v>11</v>
      </c>
      <c r="D15" s="22" t="s">
        <v>20</v>
      </c>
      <c r="E15" s="21">
        <f>HLOOKUP($F$10,'Ejercicio 4'!$D$6:$O$17,S20,FALSE)</f>
        <v>8</v>
      </c>
      <c r="F15" s="21" t="str">
        <f>VLOOKUP(E15,'Ejercicio 4-notas'!$B$26:$C$35,2,FALSE)</f>
        <v>Notable</v>
      </c>
      <c r="G15" s="19"/>
      <c r="H15" s="19"/>
      <c r="S15">
        <v>1</v>
      </c>
    </row>
    <row r="16" spans="3:19" x14ac:dyDescent="0.25">
      <c r="C16" s="20" t="s">
        <v>12</v>
      </c>
      <c r="D16" s="23" t="s">
        <v>21</v>
      </c>
      <c r="E16" s="21">
        <f>HLOOKUP($F$10,'Ejercicio 4'!$D$6:$O$17,S21,FALSE)</f>
        <v>4</v>
      </c>
      <c r="F16" s="21" t="str">
        <f>VLOOKUP(E16,'Ejercicio 4-notas'!$B$26:$C$35,2,FALSE)</f>
        <v>Insuficiente</v>
      </c>
      <c r="G16" s="19"/>
      <c r="H16" s="19"/>
      <c r="S16">
        <v>2</v>
      </c>
    </row>
    <row r="17" spans="3:19" x14ac:dyDescent="0.25">
      <c r="C17" s="20" t="s">
        <v>13</v>
      </c>
      <c r="D17" s="23" t="s">
        <v>22</v>
      </c>
      <c r="E17" s="21">
        <f>HLOOKUP($F$10,'Ejercicio 4'!$D$6:$O$17,S22,FALSE)</f>
        <v>7</v>
      </c>
      <c r="F17" s="21" t="str">
        <f>VLOOKUP(E17,'Ejercicio 4-notas'!$B$26:$C$35,2,FALSE)</f>
        <v>Notable</v>
      </c>
      <c r="G17" s="19"/>
      <c r="H17" s="19"/>
      <c r="S17">
        <v>3</v>
      </c>
    </row>
    <row r="18" spans="3:19" x14ac:dyDescent="0.25">
      <c r="C18" s="20" t="s">
        <v>14</v>
      </c>
      <c r="D18" s="23" t="s">
        <v>23</v>
      </c>
      <c r="E18" s="21">
        <f>HLOOKUP($F$10,'Ejercicio 4'!$D$6:$O$17,S23,FALSE)</f>
        <v>5</v>
      </c>
      <c r="F18" s="21" t="str">
        <f>VLOOKUP(E18,'Ejercicio 4-notas'!$B$26:$C$35,2,FALSE)</f>
        <v>Suficiente</v>
      </c>
      <c r="G18" s="19"/>
      <c r="H18" s="19"/>
      <c r="S18">
        <v>4</v>
      </c>
    </row>
    <row r="19" spans="3:19" x14ac:dyDescent="0.25">
      <c r="C19" s="20" t="s">
        <v>15</v>
      </c>
      <c r="D19" s="23" t="s">
        <v>24</v>
      </c>
      <c r="E19" s="21">
        <f>HLOOKUP($F$10,'Ejercicio 4'!$D$6:$O$17,S24,FALSE)</f>
        <v>7</v>
      </c>
      <c r="F19" s="21" t="str">
        <f>VLOOKUP(E19,'Ejercicio 4-notas'!$B$26:$C$35,2,FALSE)</f>
        <v>Notable</v>
      </c>
      <c r="G19" s="19"/>
      <c r="H19" s="19"/>
      <c r="S19">
        <v>5</v>
      </c>
    </row>
    <row r="20" spans="3:19" x14ac:dyDescent="0.25">
      <c r="C20" s="20" t="s">
        <v>16</v>
      </c>
      <c r="D20" s="23" t="s">
        <v>25</v>
      </c>
      <c r="E20" s="21">
        <f>HLOOKUP($F$10,'Ejercicio 4'!$D$6:$O$17,S25,FALSE)</f>
        <v>6</v>
      </c>
      <c r="F20" s="21" t="str">
        <f>VLOOKUP(E20,'Ejercicio 4-notas'!$B$26:$C$35,2,FALSE)</f>
        <v xml:space="preserve">Bueno </v>
      </c>
      <c r="G20" s="19"/>
      <c r="H20" s="19"/>
      <c r="S20">
        <v>6</v>
      </c>
    </row>
    <row r="21" spans="3:19" x14ac:dyDescent="0.25">
      <c r="C21" s="20" t="s">
        <v>17</v>
      </c>
      <c r="D21" s="22" t="s">
        <v>26</v>
      </c>
      <c r="E21" s="21">
        <f>HLOOKUP($F$10,'Ejercicio 4'!$D$6:$O$17,S26,FALSE)</f>
        <v>5</v>
      </c>
      <c r="F21" s="21" t="str">
        <f>VLOOKUP(E21,'Ejercicio 4-notas'!$B$26:$C$35,2,FALSE)</f>
        <v>Suficiente</v>
      </c>
      <c r="G21" s="19"/>
      <c r="H21" s="19"/>
      <c r="S21">
        <v>7</v>
      </c>
    </row>
    <row r="22" spans="3:19" x14ac:dyDescent="0.25">
      <c r="C22" s="19"/>
      <c r="D22" s="19"/>
      <c r="E22" s="19"/>
      <c r="F22" s="19"/>
      <c r="G22" s="19"/>
      <c r="H22" s="19"/>
      <c r="S22">
        <v>8</v>
      </c>
    </row>
    <row r="23" spans="3:19" ht="30" x14ac:dyDescent="0.25">
      <c r="C23" s="19"/>
      <c r="D23" s="46" t="s">
        <v>45</v>
      </c>
      <c r="E23" s="47" t="str">
        <f>HLOOKUP(F10,'Ejercicio 4'!D6:O7,2,FALSE)</f>
        <v>Ingles</v>
      </c>
      <c r="F23" s="47" t="s">
        <v>46</v>
      </c>
      <c r="G23" s="48">
        <f>HLOOKUP(F10,'Ejercicio 4'!D6:O19,13,FALSE)</f>
        <v>5.8888888888888893</v>
      </c>
      <c r="H23" s="49" t="s">
        <v>47</v>
      </c>
      <c r="S23">
        <v>9</v>
      </c>
    </row>
    <row r="24" spans="3:19" x14ac:dyDescent="0.25">
      <c r="S24">
        <v>10</v>
      </c>
    </row>
    <row r="25" spans="3:19" x14ac:dyDescent="0.25">
      <c r="S25">
        <v>11</v>
      </c>
    </row>
    <row r="26" spans="3:19" x14ac:dyDescent="0.25">
      <c r="S26">
        <v>12</v>
      </c>
    </row>
    <row r="27" spans="3:19" x14ac:dyDescent="0.25">
      <c r="S27">
        <v>13</v>
      </c>
    </row>
    <row r="28" spans="3:19" x14ac:dyDescent="0.25">
      <c r="S28">
        <v>14</v>
      </c>
    </row>
    <row r="29" spans="3:19" x14ac:dyDescent="0.25">
      <c r="S29">
        <v>15</v>
      </c>
    </row>
    <row r="30" spans="3:19" x14ac:dyDescent="0.25">
      <c r="S30">
        <v>16</v>
      </c>
    </row>
    <row r="31" spans="3:19" x14ac:dyDescent="0.25">
      <c r="S31">
        <v>17</v>
      </c>
    </row>
    <row r="32" spans="3:19" x14ac:dyDescent="0.25">
      <c r="S32">
        <v>18</v>
      </c>
    </row>
    <row r="33" spans="19:19" x14ac:dyDescent="0.25">
      <c r="S33">
        <v>19</v>
      </c>
    </row>
    <row r="34" spans="19:19" x14ac:dyDescent="0.25">
      <c r="S34">
        <v>20</v>
      </c>
    </row>
    <row r="35" spans="19:19" x14ac:dyDescent="0.25">
      <c r="S35">
        <v>21</v>
      </c>
    </row>
    <row r="36" spans="19:19" x14ac:dyDescent="0.25">
      <c r="S36">
        <v>22</v>
      </c>
    </row>
    <row r="37" spans="19:19" x14ac:dyDescent="0.25">
      <c r="S37">
        <v>23</v>
      </c>
    </row>
    <row r="38" spans="19:19" x14ac:dyDescent="0.25">
      <c r="S38">
        <v>24</v>
      </c>
    </row>
    <row r="39" spans="19:19" x14ac:dyDescent="0.25">
      <c r="S39">
        <v>25</v>
      </c>
    </row>
    <row r="40" spans="19:19" x14ac:dyDescent="0.25">
      <c r="S40">
        <v>26</v>
      </c>
    </row>
    <row r="41" spans="19:19" x14ac:dyDescent="0.25">
      <c r="S41">
        <v>27</v>
      </c>
    </row>
    <row r="42" spans="19:19" x14ac:dyDescent="0.25">
      <c r="S42">
        <v>28</v>
      </c>
    </row>
    <row r="43" spans="19:19" x14ac:dyDescent="0.25">
      <c r="S43">
        <v>29</v>
      </c>
    </row>
    <row r="44" spans="19:19" x14ac:dyDescent="0.25">
      <c r="S44">
        <v>30</v>
      </c>
    </row>
    <row r="45" spans="19:19" x14ac:dyDescent="0.25">
      <c r="S45">
        <v>31</v>
      </c>
    </row>
    <row r="46" spans="19:19" x14ac:dyDescent="0.25">
      <c r="S46">
        <v>32</v>
      </c>
    </row>
    <row r="47" spans="19:19" x14ac:dyDescent="0.25">
      <c r="S47">
        <v>33</v>
      </c>
    </row>
    <row r="48" spans="19:19" x14ac:dyDescent="0.25">
      <c r="S48">
        <v>34</v>
      </c>
    </row>
    <row r="49" spans="19:19" x14ac:dyDescent="0.25">
      <c r="S49">
        <v>35</v>
      </c>
    </row>
  </sheetData>
  <mergeCells count="4">
    <mergeCell ref="C10:E10"/>
    <mergeCell ref="C7:F8"/>
    <mergeCell ref="C2:F3"/>
    <mergeCell ref="C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4-notas</vt:lpstr>
      <vt:lpstr>Ejercicio 4</vt:lpstr>
      <vt:lpstr>Ejercicio 4-busqueda de alumnos</vt:lpstr>
      <vt:lpstr>Ejercicio 4-Busqueda de modulo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2022-01-18T06:44:39Z</dcterms:created>
  <dcterms:modified xsi:type="dcterms:W3CDTF">2022-01-20T08:16:48Z</dcterms:modified>
</cp:coreProperties>
</file>