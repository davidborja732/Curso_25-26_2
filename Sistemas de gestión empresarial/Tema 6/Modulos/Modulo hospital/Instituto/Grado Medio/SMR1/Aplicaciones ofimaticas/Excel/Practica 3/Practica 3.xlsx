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3\"/>
    </mc:Choice>
  </mc:AlternateContent>
  <bookViews>
    <workbookView xWindow="0" yWindow="0" windowWidth="20490" windowHeight="7650" activeTab="3"/>
  </bookViews>
  <sheets>
    <sheet name="Ejercicicio 1" sheetId="1" r:id="rId1"/>
    <sheet name="Ejercicicio 2" sheetId="2" r:id="rId2"/>
    <sheet name="Ejercicio 3" sheetId="3" r:id="rId3"/>
    <sheet name="Ejercicio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19" i="4"/>
  <c r="D5" i="3"/>
  <c r="C9" i="1"/>
  <c r="C18" i="4" l="1"/>
  <c r="C19" i="4"/>
  <c r="F18" i="4"/>
  <c r="F17" i="4"/>
  <c r="C17" i="4"/>
  <c r="E8" i="4"/>
  <c r="C8" i="4"/>
  <c r="G4" i="4"/>
  <c r="G5" i="4"/>
  <c r="G6" i="4"/>
  <c r="G7" i="4"/>
  <c r="G3" i="4"/>
  <c r="F4" i="4"/>
  <c r="F5" i="4"/>
  <c r="F6" i="4"/>
  <c r="F7" i="4"/>
  <c r="D20" i="2"/>
  <c r="D19" i="2"/>
  <c r="E5" i="2"/>
  <c r="E6" i="2"/>
  <c r="E7" i="2"/>
  <c r="E8" i="2"/>
  <c r="E9" i="2"/>
  <c r="E10" i="2"/>
  <c r="E11" i="2"/>
  <c r="E12" i="2"/>
  <c r="E13" i="2"/>
  <c r="E4" i="2"/>
  <c r="D5" i="2"/>
  <c r="D6" i="2"/>
  <c r="D7" i="2"/>
  <c r="D8" i="2"/>
  <c r="D9" i="2"/>
  <c r="D10" i="2"/>
  <c r="D11" i="2"/>
  <c r="D12" i="2"/>
  <c r="D13" i="2"/>
  <c r="D4" i="2"/>
  <c r="E9" i="1" l="1"/>
  <c r="E10" i="1" s="1"/>
  <c r="E4" i="1"/>
  <c r="E8" i="1"/>
  <c r="E5" i="1"/>
  <c r="E3" i="1"/>
  <c r="E11" i="1" l="1"/>
  <c r="E12" i="1" s="1"/>
</calcChain>
</file>

<file path=xl/sharedStrings.xml><?xml version="1.0" encoding="utf-8"?>
<sst xmlns="http://schemas.openxmlformats.org/spreadsheetml/2006/main" count="60" uniqueCount="49">
  <si>
    <t xml:space="preserve">Cantidad </t>
  </si>
  <si>
    <t xml:space="preserve">Articulo </t>
  </si>
  <si>
    <t>Precio</t>
  </si>
  <si>
    <t>Importe</t>
  </si>
  <si>
    <t>A</t>
  </si>
  <si>
    <t>B</t>
  </si>
  <si>
    <t>C</t>
  </si>
  <si>
    <t>Forma de pago</t>
  </si>
  <si>
    <t>Contado</t>
  </si>
  <si>
    <t xml:space="preserve">Total bruto </t>
  </si>
  <si>
    <t>Dto(%)</t>
  </si>
  <si>
    <t>Base imponible</t>
  </si>
  <si>
    <t>I.V.A(%)</t>
  </si>
  <si>
    <t>Total factura</t>
  </si>
  <si>
    <t>RESULTADO OPOSICION TRIBUNAL 1</t>
  </si>
  <si>
    <t>Nº Opositor</t>
  </si>
  <si>
    <t xml:space="preserve">Nota Global </t>
  </si>
  <si>
    <t>Resultado</t>
  </si>
  <si>
    <t>Accion</t>
  </si>
  <si>
    <t>BUSQUEDA RESULTADOS</t>
  </si>
  <si>
    <t>RESULTADO:</t>
  </si>
  <si>
    <t>Introduce un valor:</t>
  </si>
  <si>
    <t>CALCULO RAICES CUADRADAS</t>
  </si>
  <si>
    <t>GRUPO 1</t>
  </si>
  <si>
    <t>GRUPO 2</t>
  </si>
  <si>
    <t>GOLES</t>
  </si>
  <si>
    <t>RESULTADOS GRUPO 1</t>
  </si>
  <si>
    <t>RESULTADOS GRUPO 2</t>
  </si>
  <si>
    <t>Real Madrid</t>
  </si>
  <si>
    <t>Real Zaragoza</t>
  </si>
  <si>
    <t>Real Sociedad</t>
  </si>
  <si>
    <t>Athletic club</t>
  </si>
  <si>
    <t>Granada CF</t>
  </si>
  <si>
    <t>F.C Barcelona</t>
  </si>
  <si>
    <t>Valencia</t>
  </si>
  <si>
    <t>Levante</t>
  </si>
  <si>
    <t>Real Betis</t>
  </si>
  <si>
    <t>Villareal CF</t>
  </si>
  <si>
    <t>Media de goles del grupo 1</t>
  </si>
  <si>
    <t>Media de goles del grupo 2</t>
  </si>
  <si>
    <t xml:space="preserve">BUSCA LOS RESULTADOS DE TU EQUIPO </t>
  </si>
  <si>
    <t>EQUIPOS DEL GRUPO 1</t>
  </si>
  <si>
    <t>EQUIPOS DEL GRUPO 2</t>
  </si>
  <si>
    <t xml:space="preserve">Equipo </t>
  </si>
  <si>
    <t>Goles</t>
  </si>
  <si>
    <t>Contrario</t>
  </si>
  <si>
    <t>Falla el contrario del equipo del grupo 2 por que la funcion "BUSCARV" busca hacia la derecha y no hacia a la izquierda.</t>
  </si>
  <si>
    <r>
      <t>Dto(</t>
    </r>
    <r>
      <rPr>
        <sz val="11"/>
        <color theme="1"/>
        <rFont val="Calibri"/>
        <family val="2"/>
      </rPr>
      <t>€)</t>
    </r>
  </si>
  <si>
    <t>Iva(€)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</si>
</sst>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10" xfId="0" applyFont="1" applyFill="1" applyBorder="1"/>
    <xf numFmtId="0" fontId="0" fillId="0" borderId="11" xfId="0" applyBorder="1" applyAlignment="1">
      <alignment wrapText="1"/>
    </xf>
    <xf numFmtId="0" fontId="0" fillId="0" borderId="7" xfId="0" applyFill="1" applyBorder="1"/>
    <xf numFmtId="0" fontId="0" fillId="0" borderId="11" xfId="0" applyFill="1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3" xfId="0" applyFill="1" applyBorder="1"/>
    <xf numFmtId="0" fontId="0" fillId="0" borderId="9" xfId="0" applyFill="1" applyBorder="1"/>
    <xf numFmtId="0" fontId="0" fillId="0" borderId="12" xfId="0" applyFill="1" applyBorder="1"/>
    <xf numFmtId="0" fontId="0" fillId="4" borderId="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7" xfId="0" applyFill="1" applyBorder="1"/>
    <xf numFmtId="0" fontId="0" fillId="4" borderId="0" xfId="0" applyFill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2" fillId="6" borderId="0" xfId="0" applyFont="1" applyFill="1" applyBorder="1"/>
    <xf numFmtId="0" fontId="0" fillId="6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9</xdr:row>
      <xdr:rowOff>123825</xdr:rowOff>
    </xdr:from>
    <xdr:ext cx="65" cy="172227"/>
    <xdr:sp macro="" textlink="">
      <xdr:nvSpPr>
        <xdr:cNvPr id="2" name="CuadroTexto 1"/>
        <xdr:cNvSpPr txBox="1"/>
      </xdr:nvSpPr>
      <xdr:spPr>
        <a:xfrm>
          <a:off x="5943600" y="18383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workbookViewId="0">
      <selection activeCell="E10" sqref="E10"/>
    </sheetView>
  </sheetViews>
  <sheetFormatPr baseColWidth="10" defaultRowHeight="15" x14ac:dyDescent="0.25"/>
  <cols>
    <col min="2" max="2" width="14" bestFit="1" customWidth="1"/>
    <col min="5" max="5" width="11.85546875" bestFit="1" customWidth="1"/>
  </cols>
  <sheetData>
    <row r="2" spans="2:12" x14ac:dyDescent="0.25">
      <c r="B2" s="16" t="s">
        <v>0</v>
      </c>
      <c r="C2" s="17" t="s">
        <v>1</v>
      </c>
      <c r="D2" s="17" t="s">
        <v>2</v>
      </c>
      <c r="E2" s="18" t="s">
        <v>3</v>
      </c>
    </row>
    <row r="3" spans="2:12" x14ac:dyDescent="0.25">
      <c r="B3" s="6">
        <v>12</v>
      </c>
      <c r="C3" s="7" t="s">
        <v>4</v>
      </c>
      <c r="D3" s="9">
        <v>15</v>
      </c>
      <c r="E3" s="10">
        <f>D3*B3</f>
        <v>180</v>
      </c>
    </row>
    <row r="4" spans="2:12" x14ac:dyDescent="0.25">
      <c r="B4" s="6">
        <v>20</v>
      </c>
      <c r="C4" s="7" t="s">
        <v>5</v>
      </c>
      <c r="D4" s="9">
        <v>30</v>
      </c>
      <c r="E4" s="10">
        <f>D4*B4</f>
        <v>600</v>
      </c>
    </row>
    <row r="5" spans="2:12" x14ac:dyDescent="0.25">
      <c r="B5" s="6">
        <v>80</v>
      </c>
      <c r="C5" s="7" t="s">
        <v>6</v>
      </c>
      <c r="D5" s="9">
        <v>32</v>
      </c>
      <c r="E5" s="10">
        <f>D5*B5</f>
        <v>2560</v>
      </c>
    </row>
    <row r="6" spans="2:12" x14ac:dyDescent="0.25">
      <c r="B6" s="6"/>
      <c r="C6" s="7"/>
      <c r="D6" s="7"/>
      <c r="E6" s="8"/>
    </row>
    <row r="7" spans="2:12" x14ac:dyDescent="0.25">
      <c r="B7" s="6" t="s">
        <v>7</v>
      </c>
      <c r="C7" s="51" t="s">
        <v>8</v>
      </c>
      <c r="D7" s="51"/>
      <c r="E7" s="52"/>
      <c r="L7" s="15"/>
    </row>
    <row r="8" spans="2:12" x14ac:dyDescent="0.25">
      <c r="B8" s="6" t="s">
        <v>9</v>
      </c>
      <c r="C8" s="7"/>
      <c r="D8" s="7"/>
      <c r="E8" s="10">
        <f>E3+E4+E5</f>
        <v>3340</v>
      </c>
    </row>
    <row r="9" spans="2:12" x14ac:dyDescent="0.25">
      <c r="B9" s="6" t="s">
        <v>10</v>
      </c>
      <c r="C9" s="13">
        <f>IF(C7="Contado",20%,10%)</f>
        <v>0.2</v>
      </c>
      <c r="D9" s="7" t="s">
        <v>47</v>
      </c>
      <c r="E9" s="10">
        <f>E8*C9</f>
        <v>668</v>
      </c>
    </row>
    <row r="10" spans="2:12" x14ac:dyDescent="0.25">
      <c r="B10" s="6" t="s">
        <v>11</v>
      </c>
      <c r="C10" s="7"/>
      <c r="D10" s="7"/>
      <c r="E10" s="10">
        <f>E8-E9</f>
        <v>2672</v>
      </c>
    </row>
    <row r="11" spans="2:12" x14ac:dyDescent="0.25">
      <c r="B11" s="6" t="s">
        <v>12</v>
      </c>
      <c r="C11" s="13">
        <v>0.21</v>
      </c>
      <c r="D11" s="7" t="s">
        <v>48</v>
      </c>
      <c r="E11" s="10">
        <f>E10*C11</f>
        <v>561.12</v>
      </c>
    </row>
    <row r="12" spans="2:12" x14ac:dyDescent="0.25">
      <c r="B12" s="11" t="s">
        <v>13</v>
      </c>
      <c r="C12" s="12"/>
      <c r="D12" s="12"/>
      <c r="E12" s="14">
        <f>E10+E11</f>
        <v>3233.12</v>
      </c>
    </row>
  </sheetData>
  <mergeCells count="1">
    <mergeCell ref="C7:E7"/>
  </mergeCells>
  <pageMargins left="0.7" right="0.7" top="0.75" bottom="0.75" header="0.3" footer="0.3"/>
  <pageSetup paperSize="9" orientation="portrait" horizontalDpi="300" verticalDpi="300" r:id="rId1"/>
  <ignoredErrors>
    <ignoredError sqref="E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>
      <selection activeCell="D9" sqref="D9"/>
    </sheetView>
  </sheetViews>
  <sheetFormatPr baseColWidth="10" defaultRowHeight="15" x14ac:dyDescent="0.25"/>
  <cols>
    <col min="3" max="3" width="11.85546875" bestFit="1" customWidth="1"/>
    <col min="4" max="5" width="15" bestFit="1" customWidth="1"/>
  </cols>
  <sheetData>
    <row r="2" spans="2:5" ht="15.75" x14ac:dyDescent="0.25">
      <c r="B2" s="53" t="s">
        <v>14</v>
      </c>
      <c r="C2" s="54"/>
      <c r="D2" s="54"/>
      <c r="E2" s="55"/>
    </row>
    <row r="3" spans="2:5" ht="15.75" x14ac:dyDescent="0.25">
      <c r="B3" s="46" t="s">
        <v>15</v>
      </c>
      <c r="C3" s="47" t="s">
        <v>16</v>
      </c>
      <c r="D3" s="47" t="s">
        <v>17</v>
      </c>
      <c r="E3" s="48" t="s">
        <v>18</v>
      </c>
    </row>
    <row r="4" spans="2:5" x14ac:dyDescent="0.25">
      <c r="B4" s="1">
        <v>1500</v>
      </c>
      <c r="C4" s="2">
        <v>9</v>
      </c>
      <c r="D4" s="2" t="str">
        <f>IF(C4&lt;5,"SUSPENDIDO","APROBADO")</f>
        <v>APROBADO</v>
      </c>
      <c r="E4" s="3" t="str">
        <f>IF(D4="APROBADO","ELEGIR DESTINO","NADA")</f>
        <v>ELEGIR DESTINO</v>
      </c>
    </row>
    <row r="5" spans="2:5" x14ac:dyDescent="0.25">
      <c r="B5" s="1">
        <v>1501</v>
      </c>
      <c r="C5" s="2">
        <v>3</v>
      </c>
      <c r="D5" s="2" t="str">
        <f t="shared" ref="D5:D13" si="0">IF(C5&lt;5,"SUSPENDIDO","APROBADO")</f>
        <v>SUSPENDIDO</v>
      </c>
      <c r="E5" s="3" t="str">
        <f t="shared" ref="E5:E13" si="1">IF(D5="APROBADO","ELEGIR DESTINO","NADA")</f>
        <v>NADA</v>
      </c>
    </row>
    <row r="6" spans="2:5" x14ac:dyDescent="0.25">
      <c r="B6" s="1">
        <v>1502</v>
      </c>
      <c r="C6" s="2">
        <v>6</v>
      </c>
      <c r="D6" s="2" t="str">
        <f t="shared" si="0"/>
        <v>APROBADO</v>
      </c>
      <c r="E6" s="3" t="str">
        <f t="shared" si="1"/>
        <v>ELEGIR DESTINO</v>
      </c>
    </row>
    <row r="7" spans="2:5" x14ac:dyDescent="0.25">
      <c r="B7" s="1">
        <v>1503</v>
      </c>
      <c r="C7" s="19">
        <v>5</v>
      </c>
      <c r="D7" s="2" t="str">
        <f t="shared" si="0"/>
        <v>APROBADO</v>
      </c>
      <c r="E7" s="3" t="str">
        <f t="shared" si="1"/>
        <v>ELEGIR DESTINO</v>
      </c>
    </row>
    <row r="8" spans="2:5" x14ac:dyDescent="0.25">
      <c r="B8" s="1">
        <v>1504</v>
      </c>
      <c r="C8" s="19">
        <v>5</v>
      </c>
      <c r="D8" s="2" t="str">
        <f t="shared" si="0"/>
        <v>APROBADO</v>
      </c>
      <c r="E8" s="3" t="str">
        <f t="shared" si="1"/>
        <v>ELEGIR DESTINO</v>
      </c>
    </row>
    <row r="9" spans="2:5" x14ac:dyDescent="0.25">
      <c r="B9" s="1">
        <v>1505</v>
      </c>
      <c r="C9" s="19">
        <v>7</v>
      </c>
      <c r="D9" s="2" t="str">
        <f t="shared" si="0"/>
        <v>APROBADO</v>
      </c>
      <c r="E9" s="3" t="str">
        <f t="shared" si="1"/>
        <v>ELEGIR DESTINO</v>
      </c>
    </row>
    <row r="10" spans="2:5" x14ac:dyDescent="0.25">
      <c r="B10" s="1">
        <v>1506</v>
      </c>
      <c r="C10" s="19">
        <v>2</v>
      </c>
      <c r="D10" s="2" t="str">
        <f t="shared" si="0"/>
        <v>SUSPENDIDO</v>
      </c>
      <c r="E10" s="3" t="str">
        <f t="shared" si="1"/>
        <v>NADA</v>
      </c>
    </row>
    <row r="11" spans="2:5" x14ac:dyDescent="0.25">
      <c r="B11" s="1">
        <v>1507</v>
      </c>
      <c r="C11" s="19">
        <v>3</v>
      </c>
      <c r="D11" s="2" t="str">
        <f t="shared" si="0"/>
        <v>SUSPENDIDO</v>
      </c>
      <c r="E11" s="3" t="str">
        <f t="shared" si="1"/>
        <v>NADA</v>
      </c>
    </row>
    <row r="12" spans="2:5" x14ac:dyDescent="0.25">
      <c r="B12" s="1">
        <v>1508</v>
      </c>
      <c r="C12" s="19">
        <v>4</v>
      </c>
      <c r="D12" s="2" t="str">
        <f t="shared" si="0"/>
        <v>SUSPENDIDO</v>
      </c>
      <c r="E12" s="3" t="str">
        <f t="shared" si="1"/>
        <v>NADA</v>
      </c>
    </row>
    <row r="13" spans="2:5" x14ac:dyDescent="0.25">
      <c r="B13" s="22">
        <v>1509</v>
      </c>
      <c r="C13" s="4">
        <v>9</v>
      </c>
      <c r="D13" s="4" t="str">
        <f t="shared" si="0"/>
        <v>APROBADO</v>
      </c>
      <c r="E13" s="5" t="str">
        <f t="shared" si="1"/>
        <v>ELEGIR DESTINO</v>
      </c>
    </row>
    <row r="15" spans="2:5" x14ac:dyDescent="0.25">
      <c r="B15" s="37"/>
      <c r="C15" s="40"/>
      <c r="D15" s="40"/>
      <c r="E15" s="41"/>
    </row>
    <row r="16" spans="2:5" ht="15.75" x14ac:dyDescent="0.25">
      <c r="B16" s="38"/>
      <c r="C16" s="56" t="s">
        <v>19</v>
      </c>
      <c r="D16" s="56"/>
      <c r="E16" s="42"/>
    </row>
    <row r="17" spans="2:5" x14ac:dyDescent="0.25">
      <c r="B17" s="38"/>
      <c r="C17" s="45"/>
      <c r="D17" s="45"/>
      <c r="E17" s="42"/>
    </row>
    <row r="18" spans="2:5" x14ac:dyDescent="0.25">
      <c r="B18" s="38"/>
      <c r="C18" s="49" t="s">
        <v>15</v>
      </c>
      <c r="D18" s="50">
        <v>1508</v>
      </c>
      <c r="E18" s="42"/>
    </row>
    <row r="19" spans="2:5" x14ac:dyDescent="0.25">
      <c r="B19" s="38"/>
      <c r="C19" s="49" t="s">
        <v>17</v>
      </c>
      <c r="D19" s="50" t="str">
        <f>VLOOKUP(D18,B4:D13,3,0)</f>
        <v>SUSPENDIDO</v>
      </c>
      <c r="E19" s="42"/>
    </row>
    <row r="20" spans="2:5" x14ac:dyDescent="0.25">
      <c r="B20" s="38"/>
      <c r="C20" s="49" t="s">
        <v>18</v>
      </c>
      <c r="D20" s="50" t="str">
        <f>VLOOKUP(D18,B4:E13,4,0)</f>
        <v>NADA</v>
      </c>
      <c r="E20" s="42"/>
    </row>
    <row r="21" spans="2:5" x14ac:dyDescent="0.25">
      <c r="B21" s="39"/>
      <c r="C21" s="44"/>
      <c r="D21" s="44"/>
      <c r="E21" s="43"/>
    </row>
  </sheetData>
  <mergeCells count="2">
    <mergeCell ref="B2:E2"/>
    <mergeCell ref="C16:D16"/>
  </mergeCells>
  <conditionalFormatting sqref="D4:D13">
    <cfRule type="cellIs" dxfId="1" priority="1" operator="equal">
      <formula>"APROBADO"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workbookViewId="0">
      <selection activeCell="D5" sqref="D5:E5"/>
    </sheetView>
  </sheetViews>
  <sheetFormatPr baseColWidth="10" defaultRowHeight="15" x14ac:dyDescent="0.25"/>
  <sheetData>
    <row r="2" spans="2:5" x14ac:dyDescent="0.25">
      <c r="B2" s="63" t="s">
        <v>22</v>
      </c>
      <c r="C2" s="64"/>
      <c r="D2" s="64"/>
      <c r="E2" s="65"/>
    </row>
    <row r="3" spans="2:5" x14ac:dyDescent="0.25">
      <c r="B3" s="1"/>
      <c r="C3" s="2"/>
      <c r="D3" s="2"/>
      <c r="E3" s="3"/>
    </row>
    <row r="4" spans="2:5" x14ac:dyDescent="0.25">
      <c r="B4" s="57" t="s">
        <v>21</v>
      </c>
      <c r="C4" s="58"/>
      <c r="D4" s="59">
        <v>9</v>
      </c>
      <c r="E4" s="60"/>
    </row>
    <row r="5" spans="2:5" x14ac:dyDescent="0.25">
      <c r="B5" s="57" t="s">
        <v>20</v>
      </c>
      <c r="C5" s="58"/>
      <c r="D5" s="61">
        <f>IF(D4&lt;0,"ES NEGATIVO BRO",D4^(1/2))</f>
        <v>3</v>
      </c>
      <c r="E5" s="62"/>
    </row>
    <row r="6" spans="2:5" x14ac:dyDescent="0.25">
      <c r="B6" s="22"/>
      <c r="C6" s="4"/>
      <c r="D6" s="4"/>
      <c r="E6" s="5"/>
    </row>
  </sheetData>
  <mergeCells count="5">
    <mergeCell ref="B4:C4"/>
    <mergeCell ref="B5:C5"/>
    <mergeCell ref="D4:E4"/>
    <mergeCell ref="D5:E5"/>
    <mergeCell ref="B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9"/>
  <sheetViews>
    <sheetView tabSelected="1" workbookViewId="0">
      <selection activeCell="I9" sqref="I9:L11"/>
    </sheetView>
  </sheetViews>
  <sheetFormatPr baseColWidth="10" defaultRowHeight="15" x14ac:dyDescent="0.25"/>
  <cols>
    <col min="2" max="2" width="15.85546875" customWidth="1"/>
    <col min="4" max="4" width="14.85546875" customWidth="1"/>
    <col min="6" max="7" width="20.5703125" bestFit="1" customWidth="1"/>
  </cols>
  <sheetData>
    <row r="2" spans="2:12" x14ac:dyDescent="0.25">
      <c r="B2" s="27" t="s">
        <v>23</v>
      </c>
      <c r="C2" s="25" t="s">
        <v>25</v>
      </c>
      <c r="D2" s="27" t="s">
        <v>24</v>
      </c>
      <c r="E2" s="25" t="s">
        <v>25</v>
      </c>
      <c r="F2" s="26" t="s">
        <v>26</v>
      </c>
      <c r="G2" s="26" t="s">
        <v>27</v>
      </c>
    </row>
    <row r="3" spans="2:12" x14ac:dyDescent="0.25">
      <c r="B3" s="23" t="s">
        <v>28</v>
      </c>
      <c r="C3" s="21">
        <v>2</v>
      </c>
      <c r="D3" s="23" t="s">
        <v>33</v>
      </c>
      <c r="E3" s="21">
        <v>2</v>
      </c>
      <c r="F3" s="31" t="str">
        <f>IF(C3=E3,"EMPATE",IF(C3&lt;E3,"PERDIO",IF(C3&gt;E3,"GANO",0)))</f>
        <v>EMPATE</v>
      </c>
      <c r="G3" s="32" t="str">
        <f>IF(C3=E3,"EMPATE",IF(E3&lt;C3,"PERDIO",IF(E3&gt;C3,"GANO",0)))</f>
        <v>EMPATE</v>
      </c>
    </row>
    <row r="4" spans="2:12" x14ac:dyDescent="0.25">
      <c r="B4" s="31" t="s">
        <v>29</v>
      </c>
      <c r="C4" s="32">
        <v>3</v>
      </c>
      <c r="D4" s="31" t="s">
        <v>34</v>
      </c>
      <c r="E4" s="33">
        <v>2</v>
      </c>
      <c r="F4" s="31" t="str">
        <f t="shared" ref="F4:F7" si="0">IF(C4=E4,"EMPATE",IF(C4&lt;E4,"PERDIO",IF(C4&gt;E4,"GANO",0)))</f>
        <v>GANO</v>
      </c>
      <c r="G4" s="32" t="str">
        <f t="shared" ref="G4:G7" si="1">IF(C4=E4,"EMPATE",IF(E4&lt;C4,"PERDIO",IF(E4&gt;C4,"GANO",0)))</f>
        <v>PERDIO</v>
      </c>
    </row>
    <row r="5" spans="2:12" x14ac:dyDescent="0.25">
      <c r="B5" s="31" t="s">
        <v>30</v>
      </c>
      <c r="C5" s="32">
        <v>0</v>
      </c>
      <c r="D5" s="30" t="s">
        <v>35</v>
      </c>
      <c r="E5" s="4">
        <v>4</v>
      </c>
      <c r="F5" s="24" t="str">
        <f t="shared" si="0"/>
        <v>PERDIO</v>
      </c>
      <c r="G5" s="5" t="str">
        <f t="shared" si="1"/>
        <v>GANO</v>
      </c>
    </row>
    <row r="6" spans="2:12" x14ac:dyDescent="0.25">
      <c r="B6" s="24" t="s">
        <v>31</v>
      </c>
      <c r="C6" s="29">
        <v>5</v>
      </c>
      <c r="D6" s="30" t="s">
        <v>36</v>
      </c>
      <c r="E6" s="29">
        <v>3</v>
      </c>
      <c r="F6" s="24" t="str">
        <f t="shared" si="0"/>
        <v>GANO</v>
      </c>
      <c r="G6" s="5" t="str">
        <f t="shared" si="1"/>
        <v>PERDIO</v>
      </c>
    </row>
    <row r="7" spans="2:12" x14ac:dyDescent="0.25">
      <c r="B7" s="31" t="s">
        <v>32</v>
      </c>
      <c r="C7" s="34">
        <v>2</v>
      </c>
      <c r="D7" s="35" t="s">
        <v>37</v>
      </c>
      <c r="E7" s="36">
        <v>2</v>
      </c>
      <c r="F7" s="24" t="str">
        <f t="shared" si="0"/>
        <v>EMPATE</v>
      </c>
      <c r="G7" s="3" t="str">
        <f t="shared" si="1"/>
        <v>EMPATE</v>
      </c>
    </row>
    <row r="8" spans="2:12" ht="30.75" customHeight="1" x14ac:dyDescent="0.25">
      <c r="B8" s="28" t="s">
        <v>38</v>
      </c>
      <c r="C8" s="4">
        <f>(C3+C4+C5+C6+C7)/5</f>
        <v>2.4</v>
      </c>
      <c r="D8" s="28" t="s">
        <v>39</v>
      </c>
      <c r="E8" s="4">
        <f t="shared" ref="E8" si="2">(E3+E4+E5+E6+E7)/5</f>
        <v>2.6</v>
      </c>
      <c r="F8" s="20"/>
      <c r="G8" s="21"/>
    </row>
    <row r="9" spans="2:12" ht="15" customHeight="1" x14ac:dyDescent="0.25">
      <c r="I9" s="70" t="s">
        <v>46</v>
      </c>
      <c r="J9" s="70"/>
      <c r="K9" s="70"/>
      <c r="L9" s="70"/>
    </row>
    <row r="10" spans="2:12" x14ac:dyDescent="0.25">
      <c r="B10" s="71" t="s">
        <v>40</v>
      </c>
      <c r="C10" s="72"/>
      <c r="D10" s="72"/>
      <c r="E10" s="72"/>
      <c r="F10" s="72"/>
      <c r="G10" s="73"/>
      <c r="I10" s="70"/>
      <c r="J10" s="70"/>
      <c r="K10" s="70"/>
      <c r="L10" s="70"/>
    </row>
    <row r="11" spans="2:12" x14ac:dyDescent="0.25">
      <c r="B11" s="74"/>
      <c r="C11" s="75"/>
      <c r="D11" s="75"/>
      <c r="E11" s="75"/>
      <c r="F11" s="75"/>
      <c r="G11" s="76"/>
      <c r="I11" s="70"/>
      <c r="J11" s="70"/>
      <c r="K11" s="70"/>
      <c r="L11" s="70"/>
    </row>
    <row r="12" spans="2:12" x14ac:dyDescent="0.25">
      <c r="I12" s="80"/>
      <c r="J12" s="80"/>
      <c r="K12" s="80"/>
      <c r="L12" s="80"/>
    </row>
    <row r="13" spans="2:12" x14ac:dyDescent="0.25">
      <c r="B13" s="77" t="s">
        <v>41</v>
      </c>
      <c r="C13" s="78"/>
      <c r="D13" s="79"/>
      <c r="E13" s="77" t="s">
        <v>42</v>
      </c>
      <c r="F13" s="78"/>
      <c r="G13" s="79"/>
      <c r="I13" s="80"/>
      <c r="J13" s="80"/>
      <c r="K13" s="80"/>
      <c r="L13" s="80"/>
    </row>
    <row r="14" spans="2:12" x14ac:dyDescent="0.25">
      <c r="B14" s="1"/>
      <c r="C14" s="2"/>
      <c r="D14" s="3"/>
      <c r="E14" s="1"/>
      <c r="F14" s="2"/>
      <c r="G14" s="3"/>
      <c r="I14" s="80"/>
      <c r="J14" s="80"/>
      <c r="K14" s="80"/>
      <c r="L14" s="80"/>
    </row>
    <row r="15" spans="2:12" x14ac:dyDescent="0.25">
      <c r="B15" s="1" t="s">
        <v>43</v>
      </c>
      <c r="C15" s="59" t="s">
        <v>28</v>
      </c>
      <c r="D15" s="60"/>
      <c r="E15" s="1" t="s">
        <v>43</v>
      </c>
      <c r="F15" s="59" t="s">
        <v>35</v>
      </c>
      <c r="G15" s="60"/>
      <c r="I15" s="80"/>
      <c r="J15" s="80"/>
      <c r="K15" s="80"/>
      <c r="L15" s="80"/>
    </row>
    <row r="16" spans="2:12" x14ac:dyDescent="0.25">
      <c r="B16" s="1"/>
      <c r="C16" s="2"/>
      <c r="D16" s="2"/>
      <c r="E16" s="1"/>
      <c r="F16" s="2"/>
      <c r="G16" s="3"/>
    </row>
    <row r="17" spans="2:8" x14ac:dyDescent="0.25">
      <c r="B17" s="1" t="s">
        <v>44</v>
      </c>
      <c r="C17" s="68">
        <f>VLOOKUP(C15,B3:E7,2,0)</f>
        <v>2</v>
      </c>
      <c r="D17" s="69"/>
      <c r="E17" s="1" t="s">
        <v>44</v>
      </c>
      <c r="F17" s="68">
        <f>VLOOKUP(F15,D3:E7,2,0)</f>
        <v>4</v>
      </c>
      <c r="G17" s="69"/>
      <c r="H17" s="1"/>
    </row>
    <row r="18" spans="2:8" x14ac:dyDescent="0.25">
      <c r="B18" s="1" t="s">
        <v>17</v>
      </c>
      <c r="C18" s="68" t="str">
        <f>VLOOKUP(C15,B3:F7,5,0)</f>
        <v>EMPATE</v>
      </c>
      <c r="D18" s="69"/>
      <c r="E18" s="1" t="s">
        <v>17</v>
      </c>
      <c r="F18" s="68" t="str">
        <f>VLOOKUP(F15,D3:G7,4,0)</f>
        <v>GANO</v>
      </c>
      <c r="G18" s="69"/>
    </row>
    <row r="19" spans="2:8" x14ac:dyDescent="0.25">
      <c r="B19" s="22" t="s">
        <v>45</v>
      </c>
      <c r="C19" s="66" t="str">
        <f>VLOOKUP(C15,B3:E7,3,0)</f>
        <v>F.C Barcelona</v>
      </c>
      <c r="D19" s="67"/>
      <c r="E19" s="22" t="s">
        <v>45</v>
      </c>
      <c r="F19" s="66" t="e">
        <f>VLOOKUP(F15,B3:E7,1,0)</f>
        <v>#N/A</v>
      </c>
      <c r="G19" s="67"/>
    </row>
  </sheetData>
  <mergeCells count="12">
    <mergeCell ref="B10:G11"/>
    <mergeCell ref="B13:D13"/>
    <mergeCell ref="E13:G13"/>
    <mergeCell ref="C15:D15"/>
    <mergeCell ref="I9:L11"/>
    <mergeCell ref="C19:D19"/>
    <mergeCell ref="F15:G15"/>
    <mergeCell ref="F19:G19"/>
    <mergeCell ref="F17:G17"/>
    <mergeCell ref="F18:G18"/>
    <mergeCell ref="C17:D17"/>
    <mergeCell ref="C18:D18"/>
  </mergeCells>
  <conditionalFormatting sqref="F3:G7">
    <cfRule type="cellIs" dxfId="0" priority="1" operator="equal">
      <formula>"GANO"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Ejercicicio 1</vt:lpstr>
      <vt:lpstr>Ejercicicio 2</vt:lpstr>
      <vt:lpstr>Ejercicio 3</vt:lpstr>
      <vt:lpstr>Ejercicio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2022-01-21T07:35:59Z</dcterms:created>
  <dcterms:modified xsi:type="dcterms:W3CDTF">2022-02-01T08:53:18Z</dcterms:modified>
</cp:coreProperties>
</file>