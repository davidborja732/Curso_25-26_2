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BorderUnselectedTables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Aplicaciones ofimaticas\Excel\Practica 9\"/>
    </mc:Choice>
  </mc:AlternateContent>
  <bookViews>
    <workbookView xWindow="0" yWindow="0" windowWidth="20490" windowHeight="7650" activeTab="1"/>
  </bookViews>
  <sheets>
    <sheet name="Almacén" sheetId="9" r:id="rId1"/>
    <sheet name="Ponencias" sheetId="8" r:id="rId2"/>
  </sheets>
  <definedNames>
    <definedName name="edad">#REF!</definedName>
    <definedName name="rangos_edad">#REF!</definedName>
  </definedNames>
  <calcPr calcId="162913"/>
  <pivotCaches>
    <pivotCache cacheId="31" r:id="rId3"/>
  </pivotCaches>
</workbook>
</file>

<file path=xl/calcChain.xml><?xml version="1.0" encoding="utf-8"?>
<calcChain xmlns="http://schemas.openxmlformats.org/spreadsheetml/2006/main">
  <c r="C15" i="9" l="1"/>
  <c r="C18" i="9"/>
  <c r="D7" i="9"/>
  <c r="C7" i="9"/>
  <c r="E7" i="9"/>
</calcChain>
</file>

<file path=xl/sharedStrings.xml><?xml version="1.0" encoding="utf-8"?>
<sst xmlns="http://schemas.openxmlformats.org/spreadsheetml/2006/main" count="61" uniqueCount="37">
  <si>
    <t>CÓDIGO</t>
  </si>
  <si>
    <t>DESCRIPCIÓN</t>
  </si>
  <si>
    <t>PRECIO-COSTE</t>
  </si>
  <si>
    <t>PRECIO-VENTA</t>
  </si>
  <si>
    <t>UDS</t>
  </si>
  <si>
    <t>A001</t>
  </si>
  <si>
    <t>Monitor 14 pulgadas</t>
  </si>
  <si>
    <t>A002</t>
  </si>
  <si>
    <t>Monitor 17 pulgadas</t>
  </si>
  <si>
    <t>A003</t>
  </si>
  <si>
    <t>Ratón normal</t>
  </si>
  <si>
    <t>A004</t>
  </si>
  <si>
    <t>Ratón óptico</t>
  </si>
  <si>
    <t>A005</t>
  </si>
  <si>
    <t>Ratón inalámbrico</t>
  </si>
  <si>
    <t>Delegación</t>
  </si>
  <si>
    <t>Ponente</t>
  </si>
  <si>
    <t>Sueldo</t>
  </si>
  <si>
    <t>Horas</t>
  </si>
  <si>
    <t>Cadiz</t>
  </si>
  <si>
    <t>Juan López</t>
  </si>
  <si>
    <t>Barcelona</t>
  </si>
  <si>
    <t>Cristina García</t>
  </si>
  <si>
    <t>Alicante</t>
  </si>
  <si>
    <t>Valencia</t>
  </si>
  <si>
    <t>Marta Summers</t>
  </si>
  <si>
    <t>Nadia Vidal</t>
  </si>
  <si>
    <t>Madrid</t>
  </si>
  <si>
    <t>Sevilla</t>
  </si>
  <si>
    <t>Total</t>
  </si>
  <si>
    <t>INFORME DE RESULTADOS</t>
  </si>
  <si>
    <t>CONFIGURACIONES ADICIONALES</t>
  </si>
  <si>
    <t>Cambiar del tipo de letra arial12</t>
  </si>
  <si>
    <t>Crecacion/eliminacion tablas dinamicas</t>
  </si>
  <si>
    <t>Etiquetas de fila</t>
  </si>
  <si>
    <t>Total general</t>
  </si>
  <si>
    <t>Suma de Sueldo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</si>
</sst>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#,##0.00\ &quot;€&quot;;[Red]\-#,##0.00\ &quot;€&quot;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double">
        <color rgb="FF7030A0"/>
      </left>
      <right/>
      <top/>
      <bottom/>
      <diagonal/>
    </border>
    <border>
      <left/>
      <right style="double">
        <color rgb="FF7030A0"/>
      </right>
      <top/>
      <bottom/>
      <diagonal/>
    </border>
    <border>
      <left style="double">
        <color rgb="FF7030A0"/>
      </left>
      <right/>
      <top/>
      <bottom style="double">
        <color rgb="FF7030A0"/>
      </bottom>
      <diagonal/>
    </border>
    <border>
      <left/>
      <right/>
      <top/>
      <bottom style="double">
        <color rgb="FF7030A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 style="double">
        <color rgb="FF7030A0"/>
      </left>
      <right/>
      <top style="double">
        <color rgb="FF7030A0"/>
      </top>
      <bottom style="double">
        <color rgb="FF7030A0"/>
      </bottom>
      <diagonal/>
    </border>
    <border>
      <left/>
      <right/>
      <top style="double">
        <color rgb="FF7030A0"/>
      </top>
      <bottom style="double">
        <color rgb="FF7030A0"/>
      </bottom>
      <diagonal/>
    </border>
    <border>
      <left/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/>
    <xf numFmtId="0" fontId="2" fillId="0" borderId="1" xfId="0" applyFont="1" applyFill="1" applyBorder="1" applyAlignment="1"/>
    <xf numFmtId="0" fontId="0" fillId="0" borderId="2" xfId="0" applyFill="1" applyBorder="1" applyAlignment="1"/>
    <xf numFmtId="0" fontId="2" fillId="0" borderId="4" xfId="0" applyFont="1" applyBorder="1" applyAlignment="1"/>
    <xf numFmtId="0" fontId="0" fillId="0" borderId="4" xfId="0" applyBorder="1" applyAlignment="1"/>
    <xf numFmtId="0" fontId="2" fillId="0" borderId="0" xfId="0" applyFont="1" applyBorder="1" applyAlignment="1"/>
    <xf numFmtId="0" fontId="0" fillId="0" borderId="0" xfId="0" applyBorder="1" applyAlignment="1"/>
    <xf numFmtId="0" fontId="2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2" borderId="0" xfId="0" applyFont="1" applyFill="1" applyBorder="1"/>
    <xf numFmtId="0" fontId="4" fillId="0" borderId="0" xfId="0" applyFont="1" applyBorder="1"/>
    <xf numFmtId="8" fontId="4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2" formatCode="#,##0.00\ &quot;€&quot;;[Red]\-#,##0.00\ &quot;€&quot;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</dxf>
    <dxf>
      <fill>
        <patternFill>
          <bgColor indexed="10"/>
        </patternFill>
      </fill>
    </dxf>
    <dxf>
      <border diagonalUp="0" diagonalDown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205155</xdr:colOff>
          <xdr:row>13</xdr:row>
          <xdr:rowOff>85725</xdr:rowOff>
        </xdr:from>
        <xdr:to>
          <xdr:col>2</xdr:col>
          <xdr:colOff>114301</xdr:colOff>
          <xdr:row>15</xdr:row>
          <xdr:rowOff>102577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PRODUCTO MAS CARO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161193</xdr:colOff>
          <xdr:row>16</xdr:row>
          <xdr:rowOff>50556</xdr:rowOff>
        </xdr:from>
        <xdr:to>
          <xdr:col>2</xdr:col>
          <xdr:colOff>108439</xdr:colOff>
          <xdr:row>18</xdr:row>
          <xdr:rowOff>60081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PRODUCTO MAS BARATO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28576</xdr:rowOff>
        </xdr:from>
        <xdr:to>
          <xdr:col>6</xdr:col>
          <xdr:colOff>742950</xdr:colOff>
          <xdr:row>4</xdr:row>
          <xdr:rowOff>161926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BORDE A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38100</xdr:rowOff>
        </xdr:from>
        <xdr:to>
          <xdr:col>8</xdr:col>
          <xdr:colOff>714375</xdr:colOff>
          <xdr:row>4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QUITAR BORDE A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19052</xdr:colOff>
          <xdr:row>7</xdr:row>
          <xdr:rowOff>19050</xdr:rowOff>
        </xdr:from>
        <xdr:to>
          <xdr:col>5</xdr:col>
          <xdr:colOff>466726</xdr:colOff>
          <xdr:row>8</xdr:row>
          <xdr:rowOff>180974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485776</xdr:colOff>
          <xdr:row>7</xdr:row>
          <xdr:rowOff>0</xdr:rowOff>
        </xdr:from>
        <xdr:to>
          <xdr:col>7</xdr:col>
          <xdr:colOff>66676</xdr:colOff>
          <xdr:row>8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Times new roman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7</xdr:row>
          <xdr:rowOff>9525</xdr:rowOff>
        </xdr:from>
        <xdr:to>
          <xdr:col>8</xdr:col>
          <xdr:colOff>752475</xdr:colOff>
          <xdr:row>8</xdr:row>
          <xdr:rowOff>200025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Comic sans 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142876</xdr:rowOff>
        </xdr:from>
        <xdr:to>
          <xdr:col>6</xdr:col>
          <xdr:colOff>276225</xdr:colOff>
          <xdr:row>13</xdr:row>
          <xdr:rowOff>142876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Sueldos y horas por ponente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19049</xdr:rowOff>
        </xdr:from>
        <xdr:to>
          <xdr:col>7</xdr:col>
          <xdr:colOff>476250</xdr:colOff>
          <xdr:row>13</xdr:row>
          <xdr:rowOff>57149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Eliminar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11</xdr:row>
          <xdr:rowOff>171450</xdr:rowOff>
        </xdr:from>
        <xdr:to>
          <xdr:col>8</xdr:col>
          <xdr:colOff>704850</xdr:colOff>
          <xdr:row>13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Gastos por delegacion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mr1" refreshedDate="44607.420606712963" createdVersion="6" refreshedVersion="6" minRefreshableVersion="3" recordCount="14">
  <cacheSource type="worksheet">
    <worksheetSource name="Tabla2"/>
  </cacheSource>
  <cacheFields count="4">
    <cacheField name="Delegación" numFmtId="0">
      <sharedItems count="6">
        <s v="Cadiz"/>
        <s v="Barcelona"/>
        <s v="Alicante"/>
        <s v="Valencia"/>
        <s v="Madrid"/>
        <s v="Sevilla"/>
      </sharedItems>
    </cacheField>
    <cacheField name="Ponente" numFmtId="0">
      <sharedItems/>
    </cacheField>
    <cacheField name="Sueldo" numFmtId="8">
      <sharedItems containsSemiMixedTypes="0" containsString="0" containsNumber="1" minValue="146" maxValue="984"/>
    </cacheField>
    <cacheField name="Horas" numFmtId="0">
      <sharedItems containsString="0" containsBlank="1" containsNumber="1" containsInteger="1" minValue="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Juan López"/>
    <n v="356"/>
    <n v="4"/>
  </r>
  <r>
    <x v="1"/>
    <s v="Juan López"/>
    <n v="256"/>
    <n v="3"/>
  </r>
  <r>
    <x v="1"/>
    <s v="Cristina García"/>
    <n v="187"/>
    <n v="2"/>
  </r>
  <r>
    <x v="2"/>
    <s v="Juan López"/>
    <n v="365"/>
    <n v="5"/>
  </r>
  <r>
    <x v="3"/>
    <s v="Marta Summers"/>
    <n v="168"/>
    <n v="2"/>
  </r>
  <r>
    <x v="0"/>
    <s v="Marta Summers"/>
    <n v="453"/>
    <n v="6"/>
  </r>
  <r>
    <x v="2"/>
    <s v="Cristina García"/>
    <n v="984"/>
    <n v="12"/>
  </r>
  <r>
    <x v="2"/>
    <s v="Nadia Vidal"/>
    <n v="574"/>
    <n v="7"/>
  </r>
  <r>
    <x v="4"/>
    <s v="Nadia Vidal"/>
    <n v="146"/>
    <n v="2"/>
  </r>
  <r>
    <x v="4"/>
    <s v="Cristina García"/>
    <n v="489"/>
    <m/>
  </r>
  <r>
    <x v="4"/>
    <s v="Juan López"/>
    <n v="547.92999999999995"/>
    <n v="7"/>
  </r>
  <r>
    <x v="5"/>
    <s v="Nadia Vidal"/>
    <n v="575.23"/>
    <n v="7"/>
  </r>
  <r>
    <x v="1"/>
    <s v="Nadia Vidal"/>
    <n v="602.53"/>
    <n v="8"/>
  </r>
  <r>
    <x v="3"/>
    <s v="Nadia Vidal"/>
    <n v="629.82000000000005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0:B27" firstHeaderRow="1" firstDataRow="1" firstDataCol="1"/>
  <pivotFields count="4">
    <pivotField axis="axisRow" showAll="0">
      <items count="7">
        <item x="2"/>
        <item x="1"/>
        <item x="0"/>
        <item x="4"/>
        <item x="5"/>
        <item x="3"/>
        <item t="default"/>
      </items>
    </pivotField>
    <pivotField showAll="0"/>
    <pivotField dataField="1" numFmtId="8"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Sueldo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1:E7" totalsRowCount="1" headerRowDxfId="8">
  <autoFilter ref="A1:E6"/>
  <sortState ref="A2:E6">
    <sortCondition descending="1" ref="C1:C6"/>
  </sortState>
  <tableColumns count="5">
    <tableColumn id="1" name="CÓDIGO" totalsRowLabel="Total"/>
    <tableColumn id="2" name="DESCRIPCIÓN"/>
    <tableColumn id="3" name="PRECIO-COSTE" totalsRowFunction="average"/>
    <tableColumn id="4" name="PRECIO-VENTA" totalsRowFunction="average"/>
    <tableColumn id="5" name="UDS" totalsRowFunction="sum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D15" totalsRowShown="0" headerRowDxfId="1" dataDxfId="0" tableBorderDxfId="7">
  <autoFilter ref="A1:D15"/>
  <tableColumns count="4">
    <tableColumn id="1" name="Delegación" dataDxfId="5"/>
    <tableColumn id="2" name="Ponente" dataDxfId="4"/>
    <tableColumn id="3" name="Sueldo" dataDxfId="3"/>
    <tableColumn id="4" name="Hora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0"/>
  <sheetViews>
    <sheetView topLeftCell="A7" zoomScale="130" zoomScaleNormal="130" workbookViewId="0">
      <selection activeCell="G20" sqref="G20"/>
    </sheetView>
  </sheetViews>
  <sheetFormatPr baseColWidth="10" defaultRowHeight="12.75" x14ac:dyDescent="0.2"/>
  <cols>
    <col min="1" max="1" width="9.7109375" customWidth="1"/>
    <col min="2" max="2" width="17.85546875" bestFit="1" customWidth="1"/>
    <col min="3" max="3" width="16.28515625" customWidth="1"/>
    <col min="4" max="4" width="16" customWidth="1"/>
    <col min="5" max="5" width="6.28515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8" x14ac:dyDescent="0.2">
      <c r="A2" t="s">
        <v>7</v>
      </c>
      <c r="B2" t="s">
        <v>8</v>
      </c>
      <c r="C2">
        <v>120</v>
      </c>
      <c r="D2">
        <v>140</v>
      </c>
      <c r="E2">
        <v>25</v>
      </c>
    </row>
    <row r="3" spans="1:8" x14ac:dyDescent="0.2">
      <c r="A3" t="s">
        <v>5</v>
      </c>
      <c r="B3" t="s">
        <v>6</v>
      </c>
      <c r="C3">
        <v>100</v>
      </c>
      <c r="D3">
        <v>120</v>
      </c>
      <c r="E3">
        <v>20</v>
      </c>
    </row>
    <row r="4" spans="1:8" x14ac:dyDescent="0.2">
      <c r="A4" t="s">
        <v>13</v>
      </c>
      <c r="B4" t="s">
        <v>14</v>
      </c>
      <c r="C4">
        <v>6</v>
      </c>
      <c r="D4">
        <v>10</v>
      </c>
      <c r="E4">
        <v>30</v>
      </c>
    </row>
    <row r="5" spans="1:8" x14ac:dyDescent="0.2">
      <c r="A5" t="s">
        <v>9</v>
      </c>
      <c r="B5" t="s">
        <v>12</v>
      </c>
      <c r="C5">
        <v>4</v>
      </c>
      <c r="D5">
        <v>6</v>
      </c>
      <c r="E5">
        <v>50</v>
      </c>
      <c r="H5" s="19"/>
    </row>
    <row r="6" spans="1:8" x14ac:dyDescent="0.2">
      <c r="A6" t="s">
        <v>11</v>
      </c>
      <c r="B6" t="s">
        <v>10</v>
      </c>
      <c r="C6">
        <v>3</v>
      </c>
      <c r="D6">
        <v>5</v>
      </c>
      <c r="E6">
        <v>50</v>
      </c>
    </row>
    <row r="7" spans="1:8" x14ac:dyDescent="0.2">
      <c r="A7" t="s">
        <v>29</v>
      </c>
      <c r="C7">
        <f>SUBTOTAL(101,Tabla1[PRECIO-COSTE])</f>
        <v>46.6</v>
      </c>
      <c r="D7">
        <f>SUBTOTAL(101,Tabla1[PRECIO-VENTA])</f>
        <v>56.2</v>
      </c>
      <c r="E7">
        <f>SUBTOTAL(109,Tabla1[UDS])</f>
        <v>175</v>
      </c>
    </row>
    <row r="8" spans="1:8" x14ac:dyDescent="0.2">
      <c r="A8" s="1"/>
      <c r="C8" s="1"/>
      <c r="D8" s="1"/>
      <c r="E8" s="1"/>
    </row>
    <row r="12" spans="1:8" ht="13.5" thickBot="1" x14ac:dyDescent="0.25"/>
    <row r="13" spans="1:8" ht="14.25" thickTop="1" thickBot="1" x14ac:dyDescent="0.25">
      <c r="A13" s="10" t="s">
        <v>30</v>
      </c>
      <c r="B13" s="8"/>
      <c r="C13" s="8"/>
      <c r="D13" s="8"/>
      <c r="E13" s="9"/>
    </row>
    <row r="14" spans="1:8" ht="13.5" thickTop="1" x14ac:dyDescent="0.2">
      <c r="A14" s="13"/>
      <c r="B14" s="12"/>
      <c r="C14" s="12"/>
      <c r="D14" s="12"/>
      <c r="E14" s="14"/>
    </row>
    <row r="15" spans="1:8" x14ac:dyDescent="0.2">
      <c r="A15" s="2"/>
      <c r="B15" s="3"/>
      <c r="C15" s="11" t="str">
        <f>B2</f>
        <v>Monitor 17 pulgadas</v>
      </c>
      <c r="D15" s="11"/>
      <c r="E15" s="4"/>
    </row>
    <row r="16" spans="1:8" x14ac:dyDescent="0.2">
      <c r="A16" s="2"/>
      <c r="B16" s="3"/>
      <c r="C16" s="17"/>
      <c r="D16" s="18"/>
      <c r="E16" s="4"/>
    </row>
    <row r="17" spans="1:5" x14ac:dyDescent="0.2">
      <c r="A17" s="2"/>
      <c r="B17" s="3"/>
      <c r="C17" s="3"/>
      <c r="D17" s="3"/>
      <c r="E17" s="4"/>
    </row>
    <row r="18" spans="1:5" x14ac:dyDescent="0.2">
      <c r="A18" s="2"/>
      <c r="B18" s="3"/>
      <c r="C18" s="11" t="str">
        <f>B6</f>
        <v>Ratón normal</v>
      </c>
      <c r="D18" s="11"/>
      <c r="E18" s="4"/>
    </row>
    <row r="19" spans="1:5" ht="13.5" thickBot="1" x14ac:dyDescent="0.25">
      <c r="A19" s="5"/>
      <c r="B19" s="6"/>
      <c r="C19" s="15"/>
      <c r="D19" s="16"/>
      <c r="E19" s="7"/>
    </row>
    <row r="20" spans="1:5" ht="13.5" thickTop="1" x14ac:dyDescent="0.2">
      <c r="A20" s="3"/>
      <c r="B20" s="3"/>
      <c r="C20" s="3"/>
      <c r="D20" s="3"/>
      <c r="E20" s="3"/>
    </row>
  </sheetData>
  <mergeCells count="3">
    <mergeCell ref="A13:E13"/>
    <mergeCell ref="C18:D18"/>
    <mergeCell ref="C15:D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ODUCTOMASCARO">
                <anchor moveWithCells="1" sizeWithCells="1">
                  <from>
                    <xdr:col>0</xdr:col>
                    <xdr:colOff>209550</xdr:colOff>
                    <xdr:row>13</xdr:row>
                    <xdr:rowOff>85725</xdr:rowOff>
                  </from>
                  <to>
                    <xdr:col>2</xdr:col>
                    <xdr:colOff>114300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RODUCTOMASBARATO">
                <anchor moveWithCells="1" sizeWithCells="1">
                  <from>
                    <xdr:col>0</xdr:col>
                    <xdr:colOff>161925</xdr:colOff>
                    <xdr:row>16</xdr:row>
                    <xdr:rowOff>47625</xdr:rowOff>
                  </from>
                  <to>
                    <xdr:col>2</xdr:col>
                    <xdr:colOff>104775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7"/>
  <sheetViews>
    <sheetView tabSelected="1" workbookViewId="0">
      <selection activeCell="K16" sqref="K16"/>
    </sheetView>
  </sheetViews>
  <sheetFormatPr baseColWidth="10" defaultRowHeight="12.75" x14ac:dyDescent="0.2"/>
  <cols>
    <col min="1" max="1" width="17.85546875" customWidth="1"/>
    <col min="2" max="2" width="16.28515625" customWidth="1"/>
    <col min="3" max="3" width="16.140625" customWidth="1"/>
    <col min="4" max="4" width="9.7109375" customWidth="1"/>
  </cols>
  <sheetData>
    <row r="1" spans="1:9" ht="16.5" thickBot="1" x14ac:dyDescent="0.3">
      <c r="A1" s="33" t="s">
        <v>15</v>
      </c>
      <c r="B1" s="33" t="s">
        <v>16</v>
      </c>
      <c r="C1" s="33" t="s">
        <v>17</v>
      </c>
      <c r="D1" s="33" t="s">
        <v>18</v>
      </c>
      <c r="F1" s="30" t="s">
        <v>31</v>
      </c>
      <c r="G1" s="28"/>
      <c r="H1" s="28"/>
      <c r="I1" s="29"/>
    </row>
    <row r="2" spans="1:9" ht="15.75" x14ac:dyDescent="0.25">
      <c r="A2" s="34" t="s">
        <v>19</v>
      </c>
      <c r="B2" s="34" t="s">
        <v>20</v>
      </c>
      <c r="C2" s="35">
        <v>356</v>
      </c>
      <c r="D2" s="36">
        <v>4</v>
      </c>
      <c r="F2" s="20"/>
      <c r="G2" s="21"/>
      <c r="H2" s="21"/>
      <c r="I2" s="22"/>
    </row>
    <row r="3" spans="1:9" ht="15.75" x14ac:dyDescent="0.25">
      <c r="A3" s="34" t="s">
        <v>21</v>
      </c>
      <c r="B3" s="34" t="s">
        <v>20</v>
      </c>
      <c r="C3" s="35">
        <v>256</v>
      </c>
      <c r="D3" s="36">
        <v>3</v>
      </c>
      <c r="F3" s="23"/>
      <c r="G3" s="3"/>
      <c r="H3" s="3"/>
      <c r="I3" s="24"/>
    </row>
    <row r="4" spans="1:9" ht="15.75" x14ac:dyDescent="0.25">
      <c r="A4" s="34" t="s">
        <v>21</v>
      </c>
      <c r="B4" s="34" t="s">
        <v>22</v>
      </c>
      <c r="C4" s="35">
        <v>187</v>
      </c>
      <c r="D4" s="36">
        <v>2</v>
      </c>
      <c r="F4" s="23"/>
      <c r="G4" s="3"/>
      <c r="H4" s="3"/>
      <c r="I4" s="24"/>
    </row>
    <row r="5" spans="1:9" ht="16.5" thickBot="1" x14ac:dyDescent="0.3">
      <c r="A5" s="34" t="s">
        <v>23</v>
      </c>
      <c r="B5" s="34" t="s">
        <v>20</v>
      </c>
      <c r="C5" s="35">
        <v>365</v>
      </c>
      <c r="D5" s="36">
        <v>5</v>
      </c>
      <c r="F5" s="25"/>
      <c r="G5" s="26"/>
      <c r="H5" s="26"/>
      <c r="I5" s="27"/>
    </row>
    <row r="6" spans="1:9" ht="15.75" x14ac:dyDescent="0.25">
      <c r="A6" s="34" t="s">
        <v>24</v>
      </c>
      <c r="B6" s="34" t="s">
        <v>25</v>
      </c>
      <c r="C6" s="35">
        <v>168</v>
      </c>
      <c r="D6" s="36">
        <v>2</v>
      </c>
      <c r="F6" s="20"/>
      <c r="G6" s="21"/>
      <c r="H6" s="21"/>
      <c r="I6" s="22"/>
    </row>
    <row r="7" spans="1:9" ht="15.75" x14ac:dyDescent="0.25">
      <c r="A7" s="34" t="s">
        <v>19</v>
      </c>
      <c r="B7" s="34" t="s">
        <v>25</v>
      </c>
      <c r="C7" s="35">
        <v>453</v>
      </c>
      <c r="D7" s="36">
        <v>6</v>
      </c>
      <c r="F7" s="32" t="s">
        <v>32</v>
      </c>
      <c r="G7" s="11"/>
      <c r="H7" s="11"/>
      <c r="I7" s="31"/>
    </row>
    <row r="8" spans="1:9" ht="15.75" x14ac:dyDescent="0.25">
      <c r="A8" s="34" t="s">
        <v>23</v>
      </c>
      <c r="B8" s="34" t="s">
        <v>22</v>
      </c>
      <c r="C8" s="35">
        <v>984</v>
      </c>
      <c r="D8" s="36">
        <v>12</v>
      </c>
      <c r="F8" s="23"/>
      <c r="G8" s="3"/>
      <c r="H8" s="3"/>
      <c r="I8" s="24"/>
    </row>
    <row r="9" spans="1:9" ht="16.5" thickBot="1" x14ac:dyDescent="0.3">
      <c r="A9" s="34" t="s">
        <v>23</v>
      </c>
      <c r="B9" s="34" t="s">
        <v>26</v>
      </c>
      <c r="C9" s="35">
        <v>574</v>
      </c>
      <c r="D9" s="36">
        <v>7</v>
      </c>
      <c r="F9" s="25"/>
      <c r="G9" s="26"/>
      <c r="H9" s="26"/>
      <c r="I9" s="27"/>
    </row>
    <row r="10" spans="1:9" ht="15.75" x14ac:dyDescent="0.25">
      <c r="A10" s="34" t="s">
        <v>27</v>
      </c>
      <c r="B10" s="34" t="s">
        <v>26</v>
      </c>
      <c r="C10" s="35">
        <v>146</v>
      </c>
      <c r="D10" s="36">
        <v>2</v>
      </c>
      <c r="F10" s="23"/>
      <c r="G10" s="3"/>
      <c r="H10" s="3"/>
      <c r="I10" s="24"/>
    </row>
    <row r="11" spans="1:9" ht="15.75" x14ac:dyDescent="0.25">
      <c r="A11" s="34" t="s">
        <v>27</v>
      </c>
      <c r="B11" s="34" t="s">
        <v>22</v>
      </c>
      <c r="C11" s="35">
        <v>489</v>
      </c>
      <c r="D11" s="36"/>
      <c r="F11" s="32" t="s">
        <v>33</v>
      </c>
      <c r="G11" s="11"/>
      <c r="H11" s="11"/>
      <c r="I11" s="31"/>
    </row>
    <row r="12" spans="1:9" ht="15.75" x14ac:dyDescent="0.25">
      <c r="A12" s="34" t="s">
        <v>27</v>
      </c>
      <c r="B12" s="34" t="s">
        <v>20</v>
      </c>
      <c r="C12" s="35">
        <v>547.92999999999995</v>
      </c>
      <c r="D12" s="36">
        <v>7</v>
      </c>
      <c r="F12" s="23"/>
      <c r="G12" s="3"/>
      <c r="H12" s="3"/>
      <c r="I12" s="24"/>
    </row>
    <row r="13" spans="1:9" ht="15.75" x14ac:dyDescent="0.25">
      <c r="A13" s="34" t="s">
        <v>28</v>
      </c>
      <c r="B13" s="34" t="s">
        <v>26</v>
      </c>
      <c r="C13" s="35">
        <v>575.23</v>
      </c>
      <c r="D13" s="36">
        <v>7</v>
      </c>
      <c r="F13" s="23"/>
      <c r="G13" s="3"/>
      <c r="H13" s="3"/>
      <c r="I13" s="24"/>
    </row>
    <row r="14" spans="1:9" ht="15.75" x14ac:dyDescent="0.25">
      <c r="A14" s="34" t="s">
        <v>21</v>
      </c>
      <c r="B14" s="34" t="s">
        <v>26</v>
      </c>
      <c r="C14" s="35">
        <v>602.53</v>
      </c>
      <c r="D14" s="36">
        <v>8</v>
      </c>
      <c r="F14" s="23"/>
      <c r="G14" s="3"/>
      <c r="H14" s="3"/>
      <c r="I14" s="24"/>
    </row>
    <row r="15" spans="1:9" ht="16.5" thickBot="1" x14ac:dyDescent="0.3">
      <c r="A15" s="34" t="s">
        <v>24</v>
      </c>
      <c r="B15" s="34" t="s">
        <v>26</v>
      </c>
      <c r="C15" s="35">
        <v>629.82000000000005</v>
      </c>
      <c r="D15" s="36">
        <v>8</v>
      </c>
      <c r="F15" s="25"/>
      <c r="G15" s="26"/>
      <c r="H15" s="26"/>
      <c r="I15" s="27"/>
    </row>
    <row r="20" spans="1:2" x14ac:dyDescent="0.2">
      <c r="A20" s="37" t="s">
        <v>34</v>
      </c>
      <c r="B20" t="s">
        <v>36</v>
      </c>
    </row>
    <row r="21" spans="1:2" x14ac:dyDescent="0.2">
      <c r="A21" s="39" t="s">
        <v>23</v>
      </c>
      <c r="B21" s="38">
        <v>1923</v>
      </c>
    </row>
    <row r="22" spans="1:2" x14ac:dyDescent="0.2">
      <c r="A22" s="39" t="s">
        <v>21</v>
      </c>
      <c r="B22" s="38">
        <v>1045.53</v>
      </c>
    </row>
    <row r="23" spans="1:2" x14ac:dyDescent="0.2">
      <c r="A23" s="39" t="s">
        <v>19</v>
      </c>
      <c r="B23" s="38">
        <v>809</v>
      </c>
    </row>
    <row r="24" spans="1:2" x14ac:dyDescent="0.2">
      <c r="A24" s="39" t="s">
        <v>27</v>
      </c>
      <c r="B24" s="38">
        <v>1182.9299999999998</v>
      </c>
    </row>
    <row r="25" spans="1:2" x14ac:dyDescent="0.2">
      <c r="A25" s="39" t="s">
        <v>28</v>
      </c>
      <c r="B25" s="38">
        <v>575.23</v>
      </c>
    </row>
    <row r="26" spans="1:2" x14ac:dyDescent="0.2">
      <c r="A26" s="39" t="s">
        <v>24</v>
      </c>
      <c r="B26" s="38">
        <v>797.82</v>
      </c>
    </row>
    <row r="27" spans="1:2" x14ac:dyDescent="0.2">
      <c r="A27" s="39" t="s">
        <v>35</v>
      </c>
      <c r="B27" s="38">
        <v>6333.5099999999984</v>
      </c>
    </row>
  </sheetData>
  <mergeCells count="3">
    <mergeCell ref="F1:I1"/>
    <mergeCell ref="F7:I7"/>
    <mergeCell ref="F11:I11"/>
  </mergeCells>
  <conditionalFormatting sqref="C2:C15">
    <cfRule type="cellIs" dxfId="6" priority="1" stopIfTrue="1" operator="lessThan">
      <formula>#REF!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PONERBORDEATABLA">
                <anchor moveWithCells="1" sizeWithCells="1">
                  <from>
                    <xdr:col>5</xdr:col>
                    <xdr:colOff>38100</xdr:colOff>
                    <xdr:row>1</xdr:row>
                    <xdr:rowOff>28575</xdr:rowOff>
                  </from>
                  <to>
                    <xdr:col>6</xdr:col>
                    <xdr:colOff>742950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QUITARBORDE">
                <anchor moveWithCells="1" sizeWithCells="1">
                  <from>
                    <xdr:col>7</xdr:col>
                    <xdr:colOff>19050</xdr:colOff>
                    <xdr:row>1</xdr:row>
                    <xdr:rowOff>38100</xdr:rowOff>
                  </from>
                  <to>
                    <xdr:col>8</xdr:col>
                    <xdr:colOff>714375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rial">
                <anchor moveWithCells="1" sizeWithCells="1">
                  <from>
                    <xdr:col>5</xdr:col>
                    <xdr:colOff>19050</xdr:colOff>
                    <xdr:row>7</xdr:row>
                    <xdr:rowOff>19050</xdr:rowOff>
                  </from>
                  <to>
                    <xdr:col>5</xdr:col>
                    <xdr:colOff>466725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timesnew">
                <anchor moveWithCells="1" sizeWithCells="1">
                  <from>
                    <xdr:col>5</xdr:col>
                    <xdr:colOff>485775</xdr:colOff>
                    <xdr:row>7</xdr:row>
                    <xdr:rowOff>0</xdr:rowOff>
                  </from>
                  <to>
                    <xdr:col>7</xdr:col>
                    <xdr:colOff>66675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omicsans">
                <anchor moveWithCells="1" sizeWithCells="1">
                  <from>
                    <xdr:col>7</xdr:col>
                    <xdr:colOff>66675</xdr:colOff>
                    <xdr:row>7</xdr:row>
                    <xdr:rowOff>9525</xdr:rowOff>
                  </from>
                  <to>
                    <xdr:col>8</xdr:col>
                    <xdr:colOff>752475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tabladinamica">
                <anchor moveWithCells="1" sizeWithCells="1">
                  <from>
                    <xdr:col>5</xdr:col>
                    <xdr:colOff>19050</xdr:colOff>
                    <xdr:row>11</xdr:row>
                    <xdr:rowOff>142875</xdr:rowOff>
                  </from>
                  <to>
                    <xdr:col>6</xdr:col>
                    <xdr:colOff>276225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quitartabla">
                <anchor moveWithCells="1" sizeWithCells="1">
                  <from>
                    <xdr:col>6</xdr:col>
                    <xdr:colOff>342900</xdr:colOff>
                    <xdr:row>12</xdr:row>
                    <xdr:rowOff>19050</xdr:rowOff>
                  </from>
                  <to>
                    <xdr:col>7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Button 13">
              <controlPr defaultSize="0" print="0" autoFill="0" autoPict="0" macro="[0]!tabladelegacionç">
                <anchor moveWithCells="1" sizeWithCells="1">
                  <from>
                    <xdr:col>7</xdr:col>
                    <xdr:colOff>533400</xdr:colOff>
                    <xdr:row>11</xdr:row>
                    <xdr:rowOff>171450</xdr:rowOff>
                  </from>
                  <to>
                    <xdr:col>8</xdr:col>
                    <xdr:colOff>704850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Almacén</vt:lpstr>
      <vt:lpstr>Ponencias</vt:lpstr>
    </vt:vector>
  </TitlesOfParts>
  <Company>LGP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Lidia</dc:creator>
  <cp:lastModifiedBy>smr1</cp:lastModifiedBy>
  <dcterms:created xsi:type="dcterms:W3CDTF">2012-02-01T10:59:05Z</dcterms:created>
  <dcterms:modified xsi:type="dcterms:W3CDTF">2022-02-15T09:06:44Z</dcterms:modified>
</cp:coreProperties>
</file>