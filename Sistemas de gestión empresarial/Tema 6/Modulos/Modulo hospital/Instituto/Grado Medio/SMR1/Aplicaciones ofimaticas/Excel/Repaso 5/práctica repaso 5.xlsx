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codeName="ThisWorkbook"/>
  <mc:AlternateContent xmlns:mc="http://schemas.openxmlformats.org/markup-compatibility/2006">
    <mc:Choice Requires="x15">
      <x15ac:absPath xmlns:x15ac="http://schemas.microsoft.com/office/spreadsheetml/2010/11/ac" url="D:\Aplicaciones ofimaticas\Excel\Repaso 5\"/>
    </mc:Choice>
  </mc:AlternateContent>
  <xr:revisionPtr revIDLastSave="0" documentId="13_ncr:1_{72EF2545-96F6-4627-9F88-404211943CB2}" xr6:coauthVersionLast="36" xr6:coauthVersionMax="36" xr10:uidLastSave="{00000000-0000-0000-0000-000000000000}"/>
  <bookViews>
    <workbookView xWindow="0" yWindow="0" windowWidth="21600" windowHeight="10530" activeTab="2" xr2:uid="{00000000-000D-0000-FFFF-FFFF00000000}"/>
  </bookViews>
  <sheets>
    <sheet name="Modelos de automóviles" sheetId="1" r:id="rId1"/>
    <sheet name="Tabla dinamica" sheetId="12" r:id="rId2"/>
    <sheet name="Ventas 2021" sheetId="10" r:id="rId3"/>
  </sheets>
  <definedNames>
    <definedName name="códigos">'Modelos de automóviles'!$A$2:$A$7</definedName>
  </definedNames>
  <calcPr calcId="191029"/>
  <pivotCaches>
    <pivotCache cacheId="16" r:id="rId4"/>
  </pivotCaches>
</workbook>
</file>

<file path=xl/calcChain.xml><?xml version="1.0" encoding="utf-8"?>
<calcChain xmlns="http://schemas.openxmlformats.org/spreadsheetml/2006/main">
  <c r="E4" i="10" l="1"/>
  <c r="M5" i="10"/>
  <c r="M6" i="10"/>
  <c r="M4" i="10"/>
  <c r="K5" i="10"/>
  <c r="K6" i="10"/>
  <c r="K4" i="10"/>
  <c r="I5" i="10"/>
  <c r="I6" i="10"/>
  <c r="I4" i="10"/>
  <c r="G5" i="10"/>
  <c r="G6" i="10"/>
  <c r="G4" i="10"/>
  <c r="E5" i="10"/>
  <c r="E6" i="10"/>
  <c r="C4" i="10"/>
  <c r="C5" i="10"/>
  <c r="C6" i="10"/>
  <c r="N4" i="10" l="1"/>
  <c r="N6" i="10"/>
  <c r="N5" i="10"/>
</calcChain>
</file>

<file path=xl/sharedStrings.xml><?xml version="1.0" encoding="utf-8"?>
<sst xmlns="http://schemas.openxmlformats.org/spreadsheetml/2006/main" count="67" uniqueCount="41">
  <si>
    <t>Código</t>
  </si>
  <si>
    <t>Modelo</t>
  </si>
  <si>
    <t>Aire
acondic.</t>
  </si>
  <si>
    <t>ABS</t>
  </si>
  <si>
    <t>Dirección
asistida</t>
  </si>
  <si>
    <t>Pintura
metaliz.</t>
  </si>
  <si>
    <t>Llantas
aleación
ligera</t>
  </si>
  <si>
    <t>Precio
base</t>
  </si>
  <si>
    <t>A</t>
  </si>
  <si>
    <t>B</t>
  </si>
  <si>
    <t>C</t>
  </si>
  <si>
    <t>D</t>
  </si>
  <si>
    <t>E</t>
  </si>
  <si>
    <t>F</t>
  </si>
  <si>
    <t>Mercedes A</t>
  </si>
  <si>
    <t>Ford A</t>
  </si>
  <si>
    <t>Mercedes B</t>
  </si>
  <si>
    <t>Renault A</t>
  </si>
  <si>
    <t>Ford B</t>
  </si>
  <si>
    <t>Renault B</t>
  </si>
  <si>
    <t>Fecha de la venta</t>
  </si>
  <si>
    <t>Precio base</t>
  </si>
  <si>
    <t>Precio total</t>
  </si>
  <si>
    <t>Suma al precio (AC)</t>
  </si>
  <si>
    <t>Suma al precio (ABS)</t>
  </si>
  <si>
    <t>Suma al precio (DA)</t>
  </si>
  <si>
    <t>Suma al precio (PM)</t>
  </si>
  <si>
    <t>Suma al precio (LAL)</t>
  </si>
  <si>
    <t>VENTAS 2021</t>
  </si>
  <si>
    <t>SI</t>
  </si>
  <si>
    <t>NO</t>
  </si>
  <si>
    <t>Etiquetas de fila</t>
  </si>
  <si>
    <t>Total general</t>
  </si>
  <si>
    <t>Suma de Suma al precio (AC)</t>
  </si>
  <si>
    <t>Suma de Suma al precio (DA)</t>
  </si>
  <si>
    <t>Cuenta de Suma al precio (LAL)</t>
  </si>
  <si>
    <t>Cuenta 12/02/2012</t>
  </si>
  <si>
    <t>Cuenta 13/02/2012</t>
  </si>
  <si>
    <t>Cuenta 14/02/2012</t>
  </si>
  <si>
    <t>Suma de Suma al precio (ABS)</t>
  </si>
  <si>
    <t>Suma de Suma al precio (PM)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</si>
</sst>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7" formatCode="#,##0.00\ &quot;€&quot;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8" xfId="0" applyBorder="1"/>
    <xf numFmtId="0" fontId="0" fillId="0" borderId="9" xfId="0" applyBorder="1"/>
    <xf numFmtId="0" fontId="2" fillId="0" borderId="13" xfId="0" applyFont="1" applyBorder="1" applyAlignment="1">
      <alignment horizontal="center" vertical="center" wrapText="1"/>
    </xf>
    <xf numFmtId="0" fontId="0" fillId="0" borderId="15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3" fillId="2" borderId="0" xfId="0" applyFont="1" applyFill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4" fillId="0" borderId="0" xfId="0" applyFont="1"/>
    <xf numFmtId="0" fontId="0" fillId="0" borderId="15" xfId="0" applyBorder="1" applyAlignment="1">
      <alignment horizontal="right"/>
    </xf>
    <xf numFmtId="0" fontId="0" fillId="0" borderId="18" xfId="0" applyBorder="1" applyAlignment="1">
      <alignment horizontal="right"/>
    </xf>
    <xf numFmtId="167" fontId="0" fillId="0" borderId="19" xfId="0" applyNumberFormat="1" applyBorder="1"/>
    <xf numFmtId="167" fontId="0" fillId="0" borderId="20" xfId="0" applyNumberFormat="1" applyBorder="1"/>
    <xf numFmtId="14" fontId="0" fillId="0" borderId="3" xfId="0" applyNumberFormat="1" applyBorder="1" applyAlignment="1" applyProtection="1">
      <alignment horizontal="center" vertical="center"/>
      <protection locked="0"/>
    </xf>
    <xf numFmtId="14" fontId="0" fillId="0" borderId="3" xfId="0" applyNumberFormat="1" applyBorder="1" applyProtection="1">
      <protection locked="0"/>
    </xf>
    <xf numFmtId="14" fontId="0" fillId="0" borderId="4" xfId="0" applyNumberFormat="1" applyBorder="1" applyProtection="1">
      <protection locked="0"/>
    </xf>
    <xf numFmtId="0" fontId="2" fillId="0" borderId="14" xfId="0" applyFon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2">
    <cellStyle name="Normal" xfId="0" builtinId="0"/>
    <cellStyle name="Normal 2" xfId="1" xr:uid="{00000000-0005-0000-0000-000001000000}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'Modelos de automóviles'!$H$1</c:f>
              <c:strCache>
                <c:ptCount val="1"/>
                <c:pt idx="0">
                  <c:v>Precio
base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'Modelos de automóviles'!$B$2:$B$7</c:f>
              <c:strCache>
                <c:ptCount val="6"/>
                <c:pt idx="0">
                  <c:v>Mercedes A</c:v>
                </c:pt>
                <c:pt idx="1">
                  <c:v>Ford A</c:v>
                </c:pt>
                <c:pt idx="2">
                  <c:v>Mercedes B</c:v>
                </c:pt>
                <c:pt idx="3">
                  <c:v>Renault A</c:v>
                </c:pt>
                <c:pt idx="4">
                  <c:v>Ford B</c:v>
                </c:pt>
                <c:pt idx="5">
                  <c:v>Renault B</c:v>
                </c:pt>
              </c:strCache>
            </c:strRef>
          </c:cat>
          <c:val>
            <c:numRef>
              <c:f>'Modelos de automóviles'!$H$2:$H$7</c:f>
              <c:numCache>
                <c:formatCode>#,##0.00\ _€</c:formatCode>
                <c:ptCount val="6"/>
                <c:pt idx="0">
                  <c:v>4500000</c:v>
                </c:pt>
                <c:pt idx="1">
                  <c:v>3000000</c:v>
                </c:pt>
                <c:pt idx="2">
                  <c:v>4000000</c:v>
                </c:pt>
                <c:pt idx="3">
                  <c:v>3750000</c:v>
                </c:pt>
                <c:pt idx="4">
                  <c:v>2200000</c:v>
                </c:pt>
                <c:pt idx="5">
                  <c:v>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6-44AE-9ED8-6179F0B77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654959"/>
        <c:axId val="1748735855"/>
      </c:barChart>
      <c:catAx>
        <c:axId val="175265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8735855"/>
        <c:crosses val="autoZero"/>
        <c:auto val="1"/>
        <c:lblAlgn val="ctr"/>
        <c:lblOffset val="100"/>
        <c:noMultiLvlLbl val="0"/>
      </c:catAx>
      <c:valAx>
        <c:axId val="174873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_€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65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'Modelos de automóviles'!$B$2</c:f>
              <c:strCache>
                <c:ptCount val="1"/>
                <c:pt idx="0">
                  <c:v>Mercedes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automóviles'!$C$2:$G$2</c:f>
              <c:numCache>
                <c:formatCode>#,##0.00\ _€</c:formatCode>
                <c:ptCount val="5"/>
                <c:pt idx="0">
                  <c:v>225000</c:v>
                </c:pt>
                <c:pt idx="1">
                  <c:v>150000</c:v>
                </c:pt>
                <c:pt idx="2">
                  <c:v>130000</c:v>
                </c:pt>
                <c:pt idx="3">
                  <c:v>35000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4-4E4A-81CC-ACABF911345F}"/>
            </c:ext>
          </c:extLst>
        </c:ser>
        <c:ser>
          <c:idx val="1"/>
          <c:order val="1"/>
          <c:tx>
            <c:strRef>
              <c:f>'Modelos de automóviles'!$B$3</c:f>
              <c:strCache>
                <c:ptCount val="1"/>
                <c:pt idx="0">
                  <c:v>Ford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automóviles'!$C$3:$G$3</c:f>
              <c:numCache>
                <c:formatCode>#,##0.00\ _€</c:formatCode>
                <c:ptCount val="5"/>
                <c:pt idx="0">
                  <c:v>125000</c:v>
                </c:pt>
                <c:pt idx="1">
                  <c:v>125000</c:v>
                </c:pt>
                <c:pt idx="2">
                  <c:v>100000</c:v>
                </c:pt>
                <c:pt idx="3">
                  <c:v>45000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4-4E4A-81CC-ACABF911345F}"/>
            </c:ext>
          </c:extLst>
        </c:ser>
        <c:ser>
          <c:idx val="2"/>
          <c:order val="2"/>
          <c:tx>
            <c:strRef>
              <c:f>'Modelos de automóviles'!$B$4</c:f>
              <c:strCache>
                <c:ptCount val="1"/>
                <c:pt idx="0">
                  <c:v>Mercedes 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automóviles'!$C$4:$G$4</c:f>
              <c:numCache>
                <c:formatCode>#,##0.00\ _€</c:formatCode>
                <c:ptCount val="5"/>
                <c:pt idx="0">
                  <c:v>175000</c:v>
                </c:pt>
                <c:pt idx="1">
                  <c:v>200000</c:v>
                </c:pt>
                <c:pt idx="2">
                  <c:v>150000</c:v>
                </c:pt>
                <c:pt idx="3">
                  <c:v>40000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84-4E4A-81CC-ACABF911345F}"/>
            </c:ext>
          </c:extLst>
        </c:ser>
        <c:ser>
          <c:idx val="3"/>
          <c:order val="3"/>
          <c:tx>
            <c:strRef>
              <c:f>'Modelos de automóviles'!$B$5</c:f>
              <c:strCache>
                <c:ptCount val="1"/>
                <c:pt idx="0">
                  <c:v>Renault 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automóviles'!$C$5:$G$5</c:f>
              <c:numCache>
                <c:formatCode>#,##0.00\ _€</c:formatCode>
                <c:ptCount val="5"/>
                <c:pt idx="0">
                  <c:v>300000</c:v>
                </c:pt>
                <c:pt idx="1">
                  <c:v>170000</c:v>
                </c:pt>
                <c:pt idx="2">
                  <c:v>150000</c:v>
                </c:pt>
                <c:pt idx="3">
                  <c:v>25000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84-4E4A-81CC-ACABF911345F}"/>
            </c:ext>
          </c:extLst>
        </c:ser>
        <c:ser>
          <c:idx val="4"/>
          <c:order val="4"/>
          <c:tx>
            <c:strRef>
              <c:f>'Modelos de automóviles'!$B$6</c:f>
              <c:strCache>
                <c:ptCount val="1"/>
                <c:pt idx="0">
                  <c:v>Ford 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automóviles'!$C$6:$G$6</c:f>
              <c:numCache>
                <c:formatCode>#,##0.00\ _€</c:formatCode>
                <c:ptCount val="5"/>
                <c:pt idx="0">
                  <c:v>250000</c:v>
                </c:pt>
                <c:pt idx="1">
                  <c:v>250000</c:v>
                </c:pt>
                <c:pt idx="2">
                  <c:v>75000</c:v>
                </c:pt>
                <c:pt idx="3">
                  <c:v>15000</c:v>
                </c:pt>
                <c:pt idx="4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84-4E4A-81CC-ACABF911345F}"/>
            </c:ext>
          </c:extLst>
        </c:ser>
        <c:ser>
          <c:idx val="5"/>
          <c:order val="5"/>
          <c:tx>
            <c:strRef>
              <c:f>'Modelos de automóviles'!$B$7</c:f>
              <c:strCache>
                <c:ptCount val="1"/>
                <c:pt idx="0">
                  <c:v>Renault 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automóviles'!$C$7:$G$7</c:f>
              <c:numCache>
                <c:formatCode>#,##0.00\ _€</c:formatCode>
                <c:ptCount val="5"/>
                <c:pt idx="0">
                  <c:v>260000</c:v>
                </c:pt>
                <c:pt idx="1">
                  <c:v>150000</c:v>
                </c:pt>
                <c:pt idx="2">
                  <c:v>150000</c:v>
                </c:pt>
                <c:pt idx="3">
                  <c:v>50000</c:v>
                </c:pt>
                <c:pt idx="4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84-4E4A-81CC-ACABF9113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3985375"/>
        <c:axId val="2049786383"/>
      </c:barChart>
      <c:catAx>
        <c:axId val="205398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9786383"/>
        <c:crosses val="autoZero"/>
        <c:auto val="1"/>
        <c:lblAlgn val="ctr"/>
        <c:lblOffset val="100"/>
        <c:noMultiLvlLbl val="0"/>
      </c:catAx>
      <c:valAx>
        <c:axId val="204978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_€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398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301625</xdr:colOff>
      <xdr:row>8</xdr:row>
      <xdr:rowOff>0</xdr:rowOff>
    </xdr:from>
    <xdr:to>
      <xdr:col>9</xdr:col>
      <xdr:colOff>441325</xdr:colOff>
      <xdr:row>25</xdr:row>
      <xdr:rowOff>44450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0CE07D-3EE4-458D-92C4-C67B2566E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7</xdr:row>
      <xdr:rowOff>152400</xdr:rowOff>
    </xdr:from>
    <xdr:to>
      <xdr:col>5</xdr:col>
      <xdr:colOff>282575</xdr:colOff>
      <xdr:row>25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0EE003-CD40-4C2E-860C-0DB56D6D1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borja mateo" refreshedDate="44618.840023842589" createdVersion="6" refreshedVersion="6" minRefreshableVersion="3" recordCount="3" xr:uid="{34510FD1-BE3D-4266-A6D3-A7A1BE209D86}">
  <cacheSource type="worksheet">
    <worksheetSource ref="A3:N6" sheet="Ventas 2021"/>
  </cacheSource>
  <cacheFields count="14">
    <cacheField name="Fecha de la venta" numFmtId="14">
      <sharedItems containsSemiMixedTypes="0" containsNonDate="0" containsDate="1" containsString="0" minDate="2012-02-12T00:00:00" maxDate="2012-02-15T00:00:00" count="3">
        <d v="2012-02-12T00:00:00"/>
        <d v="2012-02-13T00:00:00"/>
        <d v="2012-02-14T00:00:00"/>
      </sharedItems>
    </cacheField>
    <cacheField name="Código" numFmtId="0">
      <sharedItems count="2">
        <s v="A"/>
        <s v="C"/>
      </sharedItems>
    </cacheField>
    <cacheField name="Precio base" numFmtId="0">
      <sharedItems containsSemiMixedTypes="0" containsString="0" containsNumber="1" containsInteger="1" minValue="4000000" maxValue="4500000"/>
    </cacheField>
    <cacheField name="Aire_x000a_acondic." numFmtId="0">
      <sharedItems count="1">
        <s v="SI"/>
      </sharedItems>
    </cacheField>
    <cacheField name="Suma al precio (AC)" numFmtId="0">
      <sharedItems containsSemiMixedTypes="0" containsString="0" containsNumber="1" containsInteger="1" minValue="175000" maxValue="225000"/>
    </cacheField>
    <cacheField name="ABS" numFmtId="0">
      <sharedItems/>
    </cacheField>
    <cacheField name="Suma al precio (ABS)" numFmtId="0">
      <sharedItems containsMixedTypes="1" containsNumber="1" containsInteger="1" minValue="150000" maxValue="200000"/>
    </cacheField>
    <cacheField name="Dirección_x000a_asistida" numFmtId="0">
      <sharedItems/>
    </cacheField>
    <cacheField name="Suma al precio (DA)" numFmtId="0">
      <sharedItems containsSemiMixedTypes="0" containsString="0" containsNumber="1" containsInteger="1" minValue="130000" maxValue="150000"/>
    </cacheField>
    <cacheField name="Pintura_x000a_metaliz." numFmtId="0">
      <sharedItems/>
    </cacheField>
    <cacheField name="Suma al precio (PM)" numFmtId="0">
      <sharedItems/>
    </cacheField>
    <cacheField name="Llantas_x000a_aleación_x000a_ligera" numFmtId="0">
      <sharedItems/>
    </cacheField>
    <cacheField name="Suma al precio (LAL)" numFmtId="0">
      <sharedItems containsMixedTypes="1" containsNumber="1" containsInteger="1" minValue="10000" maxValue="20000"/>
    </cacheField>
    <cacheField name="Precio total" numFmtId="167">
      <sharedItems containsSemiMixedTypes="0" containsString="0" containsNumber="1" containsInteger="1" minValue="4535000" maxValue="500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4500000"/>
    <x v="0"/>
    <n v="225000"/>
    <s v="NO"/>
    <s v="0"/>
    <s v="SI"/>
    <n v="130000"/>
    <s v="NO"/>
    <s v="0"/>
    <s v="SI"/>
    <n v="20000"/>
    <n v="4875000"/>
  </r>
  <r>
    <x v="1"/>
    <x v="1"/>
    <n v="4000000"/>
    <x v="0"/>
    <n v="175000"/>
    <s v="SI"/>
    <n v="200000"/>
    <s v="SI"/>
    <n v="150000"/>
    <s v="NO"/>
    <s v="0"/>
    <s v="SI"/>
    <n v="10000"/>
    <n v="4535000"/>
  </r>
  <r>
    <x v="2"/>
    <x v="0"/>
    <n v="4500000"/>
    <x v="0"/>
    <n v="225000"/>
    <s v="SI"/>
    <n v="150000"/>
    <s v="SI"/>
    <n v="130000"/>
    <s v="NO"/>
    <s v="0"/>
    <s v="NO"/>
    <s v="0"/>
    <n v="500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A43D0-72C7-4381-9587-663B0762C469}" name="TablaDinámica7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F12" firstHeaderRow="0" firstDataRow="1" firstDataCol="1"/>
  <pivotFields count="14">
    <pivotField axis="axisRow" numFmtId="14" showAll="0" countASubtotal="1">
      <items count="4">
        <item x="0"/>
        <item x="1"/>
        <item x="2"/>
        <item t="countA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2">
        <item x="0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numFmtId="167" showAll="0"/>
  </pivotFields>
  <rowFields count="2">
    <field x="1"/>
    <field x="0"/>
  </rowFields>
  <rowItems count="9">
    <i>
      <x/>
    </i>
    <i r="1">
      <x/>
    </i>
    <i r="1">
      <x v="2"/>
    </i>
    <i>
      <x v="1"/>
    </i>
    <i r="1">
      <x v="1"/>
    </i>
    <i t="countA">
      <x v="1048832"/>
      <x/>
    </i>
    <i t="countA" r="1">
      <x v="1"/>
    </i>
    <i t="countA" r="1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Suma al precio (AC)" fld="4" baseField="0" baseItem="0"/>
    <dataField name="Suma de Suma al precio (ABS)" fld="6" baseField="1" baseItem="0"/>
    <dataField name="Suma de Suma al precio (DA)" fld="8" baseField="0" baseItem="0"/>
    <dataField name="Suma de Suma al precio (PM)" fld="10" baseField="1" baseItem="0"/>
    <dataField name="Cuenta de Suma al precio (LAL)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H7"/>
  <sheetViews>
    <sheetView workbookViewId="0">
      <selection activeCell="B1" sqref="B1:G7"/>
    </sheetView>
  </sheetViews>
  <sheetFormatPr baseColWidth="10" defaultRowHeight="12.5" x14ac:dyDescent="0.25"/>
  <cols>
    <col min="1" max="1" width="7.26953125" customWidth="1"/>
    <col min="2" max="2" width="11" customWidth="1"/>
    <col min="3" max="3" width="15.81640625" customWidth="1"/>
    <col min="4" max="4" width="17.54296875" customWidth="1"/>
    <col min="5" max="5" width="17.7265625" customWidth="1"/>
    <col min="6" max="6" width="18.1796875" customWidth="1"/>
    <col min="7" max="8" width="17.1796875" customWidth="1"/>
  </cols>
  <sheetData>
    <row r="1" spans="1:8" ht="39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14</v>
      </c>
      <c r="C2" s="10">
        <v>225000</v>
      </c>
      <c r="D2" s="10">
        <v>150000</v>
      </c>
      <c r="E2" s="10">
        <v>130000</v>
      </c>
      <c r="F2" s="10">
        <v>35000</v>
      </c>
      <c r="G2" s="10">
        <v>20000</v>
      </c>
      <c r="H2" s="10">
        <v>4500000</v>
      </c>
    </row>
    <row r="3" spans="1:8" x14ac:dyDescent="0.25">
      <c r="A3" s="3" t="s">
        <v>9</v>
      </c>
      <c r="B3" s="4" t="s">
        <v>15</v>
      </c>
      <c r="C3" s="10">
        <v>125000</v>
      </c>
      <c r="D3" s="10">
        <v>125000</v>
      </c>
      <c r="E3" s="10">
        <v>100000</v>
      </c>
      <c r="F3" s="10">
        <v>45000</v>
      </c>
      <c r="G3" s="10">
        <v>20000</v>
      </c>
      <c r="H3" s="10">
        <v>3000000</v>
      </c>
    </row>
    <row r="4" spans="1:8" x14ac:dyDescent="0.25">
      <c r="A4" s="3" t="s">
        <v>10</v>
      </c>
      <c r="B4" s="4" t="s">
        <v>16</v>
      </c>
      <c r="C4" s="10">
        <v>175000</v>
      </c>
      <c r="D4" s="10">
        <v>200000</v>
      </c>
      <c r="E4" s="10">
        <v>150000</v>
      </c>
      <c r="F4" s="10">
        <v>40000</v>
      </c>
      <c r="G4" s="10">
        <v>10000</v>
      </c>
      <c r="H4" s="10">
        <v>4000000</v>
      </c>
    </row>
    <row r="5" spans="1:8" x14ac:dyDescent="0.25">
      <c r="A5" s="3" t="s">
        <v>11</v>
      </c>
      <c r="B5" s="4" t="s">
        <v>17</v>
      </c>
      <c r="C5" s="10">
        <v>300000</v>
      </c>
      <c r="D5" s="10">
        <v>170000</v>
      </c>
      <c r="E5" s="10">
        <v>150000</v>
      </c>
      <c r="F5" s="10">
        <v>25000</v>
      </c>
      <c r="G5" s="10">
        <v>10000</v>
      </c>
      <c r="H5" s="10">
        <v>3750000</v>
      </c>
    </row>
    <row r="6" spans="1:8" x14ac:dyDescent="0.25">
      <c r="A6" s="3" t="s">
        <v>12</v>
      </c>
      <c r="B6" s="4" t="s">
        <v>18</v>
      </c>
      <c r="C6" s="10">
        <v>250000</v>
      </c>
      <c r="D6" s="10">
        <v>250000</v>
      </c>
      <c r="E6" s="10">
        <v>75000</v>
      </c>
      <c r="F6" s="10">
        <v>15000</v>
      </c>
      <c r="G6" s="10">
        <v>15000</v>
      </c>
      <c r="H6" s="10">
        <v>2200000</v>
      </c>
    </row>
    <row r="7" spans="1:8" x14ac:dyDescent="0.25">
      <c r="A7" s="3" t="s">
        <v>13</v>
      </c>
      <c r="B7" s="4" t="s">
        <v>19</v>
      </c>
      <c r="C7" s="10">
        <v>260000</v>
      </c>
      <c r="D7" s="10">
        <v>150000</v>
      </c>
      <c r="E7" s="10">
        <v>150000</v>
      </c>
      <c r="F7" s="10">
        <v>50000</v>
      </c>
      <c r="G7" s="10">
        <v>24000</v>
      </c>
      <c r="H7" s="10">
        <v>2500000</v>
      </c>
    </row>
  </sheetData>
  <phoneticPr fontId="0" type="noConversion"/>
  <pageMargins left="0.75" right="0.75" top="1" bottom="1" header="0" footer="0"/>
  <pageSetup orientation="portrait" horizont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B5DA-5B62-4592-AB39-BD33D125C61A}">
  <dimension ref="A3:F12"/>
  <sheetViews>
    <sheetView workbookViewId="0">
      <selection activeCell="D9" sqref="D9"/>
    </sheetView>
  </sheetViews>
  <sheetFormatPr baseColWidth="10" defaultRowHeight="12.5" x14ac:dyDescent="0.25"/>
  <cols>
    <col min="1" max="1" width="17.81640625" bestFit="1" customWidth="1"/>
    <col min="2" max="2" width="26.08984375" bestFit="1" customWidth="1"/>
    <col min="3" max="3" width="27.26953125" bestFit="1" customWidth="1"/>
    <col min="4" max="4" width="26.08984375" bestFit="1" customWidth="1"/>
    <col min="5" max="5" width="26.36328125" bestFit="1" customWidth="1"/>
    <col min="6" max="6" width="28.26953125" bestFit="1" customWidth="1"/>
  </cols>
  <sheetData>
    <row r="3" spans="1:6" x14ac:dyDescent="0.25">
      <c r="A3" s="35" t="s">
        <v>31</v>
      </c>
      <c r="B3" t="s">
        <v>33</v>
      </c>
      <c r="C3" t="s">
        <v>39</v>
      </c>
      <c r="D3" t="s">
        <v>34</v>
      </c>
      <c r="E3" t="s">
        <v>40</v>
      </c>
      <c r="F3" t="s">
        <v>35</v>
      </c>
    </row>
    <row r="4" spans="1:6" x14ac:dyDescent="0.25">
      <c r="A4" s="36" t="s">
        <v>8</v>
      </c>
      <c r="B4" s="37">
        <v>450000</v>
      </c>
      <c r="C4" s="37">
        <v>150000</v>
      </c>
      <c r="D4" s="37">
        <v>260000</v>
      </c>
      <c r="E4" s="37">
        <v>0</v>
      </c>
      <c r="F4" s="37">
        <v>2</v>
      </c>
    </row>
    <row r="5" spans="1:6" x14ac:dyDescent="0.25">
      <c r="A5" s="38">
        <v>40951</v>
      </c>
      <c r="B5" s="37">
        <v>225000</v>
      </c>
      <c r="C5" s="37">
        <v>0</v>
      </c>
      <c r="D5" s="37">
        <v>130000</v>
      </c>
      <c r="E5" s="37">
        <v>0</v>
      </c>
      <c r="F5" s="37">
        <v>1</v>
      </c>
    </row>
    <row r="6" spans="1:6" x14ac:dyDescent="0.25">
      <c r="A6" s="38">
        <v>40953</v>
      </c>
      <c r="B6" s="37">
        <v>225000</v>
      </c>
      <c r="C6" s="37">
        <v>150000</v>
      </c>
      <c r="D6" s="37">
        <v>130000</v>
      </c>
      <c r="E6" s="37">
        <v>0</v>
      </c>
      <c r="F6" s="37">
        <v>1</v>
      </c>
    </row>
    <row r="7" spans="1:6" x14ac:dyDescent="0.25">
      <c r="A7" s="36" t="s">
        <v>10</v>
      </c>
      <c r="B7" s="37">
        <v>175000</v>
      </c>
      <c r="C7" s="37">
        <v>200000</v>
      </c>
      <c r="D7" s="37">
        <v>150000</v>
      </c>
      <c r="E7" s="37">
        <v>0</v>
      </c>
      <c r="F7" s="37">
        <v>1</v>
      </c>
    </row>
    <row r="8" spans="1:6" x14ac:dyDescent="0.25">
      <c r="A8" s="38">
        <v>40952</v>
      </c>
      <c r="B8" s="37">
        <v>175000</v>
      </c>
      <c r="C8" s="37">
        <v>200000</v>
      </c>
      <c r="D8" s="37">
        <v>150000</v>
      </c>
      <c r="E8" s="37">
        <v>0</v>
      </c>
      <c r="F8" s="37">
        <v>1</v>
      </c>
    </row>
    <row r="9" spans="1:6" x14ac:dyDescent="0.25">
      <c r="A9" s="38" t="s">
        <v>36</v>
      </c>
      <c r="B9" s="37">
        <v>1</v>
      </c>
      <c r="C9" s="37">
        <v>1</v>
      </c>
      <c r="D9" s="37">
        <v>1</v>
      </c>
      <c r="E9" s="37">
        <v>1</v>
      </c>
      <c r="F9" s="37">
        <v>1</v>
      </c>
    </row>
    <row r="10" spans="1:6" x14ac:dyDescent="0.25">
      <c r="A10" s="38" t="s">
        <v>37</v>
      </c>
      <c r="B10" s="37">
        <v>1</v>
      </c>
      <c r="C10" s="37">
        <v>1</v>
      </c>
      <c r="D10" s="37">
        <v>1</v>
      </c>
      <c r="E10" s="37">
        <v>1</v>
      </c>
      <c r="F10" s="37">
        <v>1</v>
      </c>
    </row>
    <row r="11" spans="1:6" x14ac:dyDescent="0.25">
      <c r="A11" s="38" t="s">
        <v>38</v>
      </c>
      <c r="B11" s="37">
        <v>1</v>
      </c>
      <c r="C11" s="37">
        <v>1</v>
      </c>
      <c r="D11" s="37">
        <v>1</v>
      </c>
      <c r="E11" s="37">
        <v>1</v>
      </c>
      <c r="F11" s="37">
        <v>1</v>
      </c>
    </row>
    <row r="12" spans="1:6" x14ac:dyDescent="0.25">
      <c r="A12" s="36" t="s">
        <v>32</v>
      </c>
      <c r="B12" s="37">
        <v>625000</v>
      </c>
      <c r="C12" s="37">
        <v>350000</v>
      </c>
      <c r="D12" s="37">
        <v>410000</v>
      </c>
      <c r="E12" s="37">
        <v>0</v>
      </c>
      <c r="F12" s="3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O31"/>
  <sheetViews>
    <sheetView tabSelected="1" workbookViewId="0">
      <selection activeCell="O12" sqref="O12"/>
    </sheetView>
  </sheetViews>
  <sheetFormatPr baseColWidth="10" defaultRowHeight="12.5" x14ac:dyDescent="0.25"/>
  <cols>
    <col min="14" max="14" width="13" bestFit="1" customWidth="1"/>
  </cols>
  <sheetData>
    <row r="1" spans="1:15" ht="15.5" x14ac:dyDescent="0.35">
      <c r="A1" s="18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23" t="s">
        <v>29</v>
      </c>
    </row>
    <row r="2" spans="1:15" ht="13" thickBot="1" x14ac:dyDescent="0.3">
      <c r="O2" s="23" t="s">
        <v>30</v>
      </c>
    </row>
    <row r="3" spans="1:15" ht="40" thickTop="1" thickBot="1" x14ac:dyDescent="0.3">
      <c r="A3" s="19" t="s">
        <v>20</v>
      </c>
      <c r="B3" s="20" t="s">
        <v>0</v>
      </c>
      <c r="C3" s="21" t="s">
        <v>21</v>
      </c>
      <c r="D3" s="7" t="s">
        <v>2</v>
      </c>
      <c r="E3" s="8" t="s">
        <v>23</v>
      </c>
      <c r="F3" s="7" t="s">
        <v>3</v>
      </c>
      <c r="G3" s="8" t="s">
        <v>24</v>
      </c>
      <c r="H3" s="7" t="s">
        <v>4</v>
      </c>
      <c r="I3" s="8" t="s">
        <v>25</v>
      </c>
      <c r="J3" s="13" t="s">
        <v>5</v>
      </c>
      <c r="K3" s="8" t="s">
        <v>26</v>
      </c>
      <c r="L3" s="7" t="s">
        <v>6</v>
      </c>
      <c r="M3" s="8" t="s">
        <v>27</v>
      </c>
      <c r="N3" s="9" t="s">
        <v>22</v>
      </c>
    </row>
    <row r="4" spans="1:15" ht="13.5" thickTop="1" x14ac:dyDescent="0.3">
      <c r="A4" s="28">
        <v>40951</v>
      </c>
      <c r="B4" s="34" t="s">
        <v>8</v>
      </c>
      <c r="C4" s="22">
        <f>VLOOKUP(B4,'Modelos de automóviles'!$A$2:$H$7,8,0)</f>
        <v>4500000</v>
      </c>
      <c r="D4" s="31" t="s">
        <v>29</v>
      </c>
      <c r="E4" s="24">
        <f>IF(D4="SI",VLOOKUP(B4,'Modelos de automóviles'!$A$2:$H$7,3,0),"0")</f>
        <v>225000</v>
      </c>
      <c r="F4" s="31" t="s">
        <v>30</v>
      </c>
      <c r="G4" s="24" t="str">
        <f>IF(F4="SI",VLOOKUP(B4,'Modelos de automóviles'!$A$2:$H$7,4,0),"0")</f>
        <v>0</v>
      </c>
      <c r="H4" s="31" t="s">
        <v>30</v>
      </c>
      <c r="I4" s="24" t="str">
        <f>IF(H4="SI",VLOOKUP(B4,'Modelos de automóviles'!$A$2:$H$7,5,0),"0")</f>
        <v>0</v>
      </c>
      <c r="J4" s="31" t="s">
        <v>29</v>
      </c>
      <c r="K4" s="25">
        <f>IF(J4="SI",VLOOKUP(B4,'Modelos de automóviles'!$A$2:$H$7,6,0),"0")</f>
        <v>35000</v>
      </c>
      <c r="L4" s="31" t="s">
        <v>29</v>
      </c>
      <c r="M4" s="25">
        <f>IF(L4="SI",VLOOKUP(B4,'Modelos de automóviles'!$A$2:$H$7,7,0),"0")</f>
        <v>20000</v>
      </c>
      <c r="N4" s="26">
        <f>C4+E4+G4+I4+K4+M4</f>
        <v>4780000</v>
      </c>
    </row>
    <row r="5" spans="1:15" ht="13" x14ac:dyDescent="0.3">
      <c r="A5" s="28">
        <v>40952</v>
      </c>
      <c r="B5" s="34" t="s">
        <v>10</v>
      </c>
      <c r="C5" s="22">
        <f>VLOOKUP(B5,'Modelos de automóviles'!$A$2:$H$7,8,0)</f>
        <v>4000000</v>
      </c>
      <c r="D5" s="31" t="s">
        <v>29</v>
      </c>
      <c r="E5" s="24">
        <f>IF(D5="SI",VLOOKUP(B5,'Modelos de automóviles'!$A$2:$H$7,3,0),"0")</f>
        <v>175000</v>
      </c>
      <c r="F5" s="31" t="s">
        <v>29</v>
      </c>
      <c r="G5" s="24">
        <f>IF(F5="SI",VLOOKUP(B5,'Modelos de automóviles'!$A$2:$H$7,4,0),"0")</f>
        <v>200000</v>
      </c>
      <c r="H5" s="31" t="s">
        <v>29</v>
      </c>
      <c r="I5" s="24">
        <f>IF(H5="SI",VLOOKUP(B5,'Modelos de automóviles'!$A$2:$H$7,5,0),"0")</f>
        <v>150000</v>
      </c>
      <c r="J5" s="31" t="s">
        <v>30</v>
      </c>
      <c r="K5" s="24" t="str">
        <f>IF(J5="SI",VLOOKUP(B5,'Modelos de automóviles'!$A$2:$H$7,6,0),"0")</f>
        <v>0</v>
      </c>
      <c r="L5" s="31" t="s">
        <v>29</v>
      </c>
      <c r="M5" s="24">
        <f>IF(L5="SI",VLOOKUP(B5,'Modelos de automóviles'!$A$2:$H$7,7,0),"0")</f>
        <v>10000</v>
      </c>
      <c r="N5" s="27">
        <f t="shared" ref="N5:N6" si="0">C5+E5+G5+I5+K5+M5</f>
        <v>4535000</v>
      </c>
    </row>
    <row r="6" spans="1:15" ht="13" x14ac:dyDescent="0.3">
      <c r="A6" s="28">
        <v>40953</v>
      </c>
      <c r="B6" s="34" t="s">
        <v>8</v>
      </c>
      <c r="C6" s="22">
        <f>VLOOKUP(B6,'Modelos de automóviles'!$A$2:$H$7,8,0)</f>
        <v>4500000</v>
      </c>
      <c r="D6" s="31" t="s">
        <v>30</v>
      </c>
      <c r="E6" s="24" t="str">
        <f>IF(D6="SI",VLOOKUP(B6,'Modelos de automóviles'!$A$2:$H$7,3,0),"0")</f>
        <v>0</v>
      </c>
      <c r="F6" s="31" t="s">
        <v>29</v>
      </c>
      <c r="G6" s="24">
        <f>IF(F6="SI",VLOOKUP(B6,'Modelos de automóviles'!$A$2:$H$7,4,0),"0")</f>
        <v>150000</v>
      </c>
      <c r="H6" s="31" t="s">
        <v>29</v>
      </c>
      <c r="I6" s="24">
        <f>IF(H6="SI",VLOOKUP(B6,'Modelos de automóviles'!$A$2:$H$7,5,0),"0")</f>
        <v>130000</v>
      </c>
      <c r="J6" s="31" t="s">
        <v>29</v>
      </c>
      <c r="K6" s="24">
        <f>IF(J6="SI",VLOOKUP(B6,'Modelos de automóviles'!$A$2:$H$7,6,0),"0")</f>
        <v>35000</v>
      </c>
      <c r="L6" s="31" t="s">
        <v>30</v>
      </c>
      <c r="M6" s="24" t="str">
        <f>IF(L6="SI",VLOOKUP(B6,'Modelos de automóviles'!$A$2:$H$7,7,0),"0")</f>
        <v>0</v>
      </c>
      <c r="N6" s="27">
        <f t="shared" si="0"/>
        <v>4815000</v>
      </c>
    </row>
    <row r="7" spans="1:15" x14ac:dyDescent="0.25">
      <c r="A7" s="28"/>
      <c r="B7" s="5"/>
      <c r="C7" s="11"/>
      <c r="D7" s="32"/>
      <c r="E7" s="14"/>
      <c r="F7" s="32"/>
      <c r="G7" s="14"/>
      <c r="H7" s="32"/>
      <c r="I7" s="14"/>
      <c r="J7" s="32"/>
      <c r="K7" s="14"/>
      <c r="L7" s="32"/>
      <c r="M7" s="14"/>
      <c r="N7" s="16"/>
    </row>
    <row r="8" spans="1:15" x14ac:dyDescent="0.25">
      <c r="A8" s="28"/>
      <c r="B8" s="5"/>
      <c r="C8" s="11"/>
      <c r="D8" s="32"/>
      <c r="E8" s="14"/>
      <c r="F8" s="32"/>
      <c r="G8" s="14"/>
      <c r="H8" s="32"/>
      <c r="I8" s="14"/>
      <c r="J8" s="32"/>
      <c r="K8" s="14"/>
      <c r="L8" s="32"/>
      <c r="M8" s="14"/>
      <c r="N8" s="16"/>
    </row>
    <row r="9" spans="1:15" x14ac:dyDescent="0.25">
      <c r="A9" s="28"/>
      <c r="B9" s="5"/>
      <c r="C9" s="11"/>
      <c r="D9" s="32"/>
      <c r="E9" s="14"/>
      <c r="F9" s="32"/>
      <c r="G9" s="14"/>
      <c r="H9" s="32"/>
      <c r="I9" s="14"/>
      <c r="J9" s="32"/>
      <c r="K9" s="14"/>
      <c r="L9" s="32"/>
      <c r="M9" s="14"/>
      <c r="N9" s="16"/>
    </row>
    <row r="10" spans="1:15" x14ac:dyDescent="0.25">
      <c r="A10" s="29"/>
      <c r="B10" s="5"/>
      <c r="C10" s="11"/>
      <c r="D10" s="32"/>
      <c r="E10" s="14"/>
      <c r="F10" s="32"/>
      <c r="G10" s="14"/>
      <c r="H10" s="32"/>
      <c r="I10" s="14"/>
      <c r="J10" s="32"/>
      <c r="K10" s="14"/>
      <c r="L10" s="32"/>
      <c r="M10" s="14"/>
      <c r="N10" s="16"/>
    </row>
    <row r="11" spans="1:15" x14ac:dyDescent="0.25">
      <c r="A11" s="29"/>
      <c r="B11" s="5"/>
      <c r="C11" s="11"/>
      <c r="D11" s="32"/>
      <c r="E11" s="14"/>
      <c r="F11" s="32"/>
      <c r="G11" s="14"/>
      <c r="H11" s="32"/>
      <c r="I11" s="14"/>
      <c r="J11" s="32"/>
      <c r="K11" s="14"/>
      <c r="L11" s="32"/>
      <c r="M11" s="14"/>
      <c r="N11" s="16"/>
    </row>
    <row r="12" spans="1:15" x14ac:dyDescent="0.25">
      <c r="A12" s="29"/>
      <c r="B12" s="5"/>
      <c r="C12" s="11"/>
      <c r="D12" s="32"/>
      <c r="E12" s="14"/>
      <c r="F12" s="32"/>
      <c r="G12" s="14"/>
      <c r="H12" s="32"/>
      <c r="I12" s="14"/>
      <c r="J12" s="32"/>
      <c r="K12" s="14"/>
      <c r="L12" s="32"/>
      <c r="M12" s="14"/>
      <c r="N12" s="16"/>
    </row>
    <row r="13" spans="1:15" x14ac:dyDescent="0.25">
      <c r="A13" s="29"/>
      <c r="B13" s="5"/>
      <c r="C13" s="11"/>
      <c r="D13" s="32"/>
      <c r="E13" s="14"/>
      <c r="F13" s="32"/>
      <c r="G13" s="14"/>
      <c r="H13" s="32"/>
      <c r="I13" s="14"/>
      <c r="J13" s="32"/>
      <c r="K13" s="14"/>
      <c r="L13" s="32"/>
      <c r="M13" s="14"/>
      <c r="N13" s="16"/>
    </row>
    <row r="14" spans="1:15" x14ac:dyDescent="0.25">
      <c r="A14" s="29"/>
      <c r="B14" s="5"/>
      <c r="C14" s="11"/>
      <c r="D14" s="32"/>
      <c r="E14" s="14"/>
      <c r="F14" s="32"/>
      <c r="G14" s="14"/>
      <c r="H14" s="32"/>
      <c r="I14" s="14"/>
      <c r="J14" s="32"/>
      <c r="K14" s="14"/>
      <c r="L14" s="32"/>
      <c r="M14" s="14"/>
      <c r="N14" s="16"/>
    </row>
    <row r="15" spans="1:15" x14ac:dyDescent="0.25">
      <c r="A15" s="29"/>
      <c r="B15" s="5"/>
      <c r="C15" s="11"/>
      <c r="D15" s="32"/>
      <c r="E15" s="14"/>
      <c r="F15" s="32"/>
      <c r="G15" s="14"/>
      <c r="H15" s="32"/>
      <c r="I15" s="14"/>
      <c r="J15" s="32"/>
      <c r="K15" s="14"/>
      <c r="L15" s="32"/>
      <c r="M15" s="14"/>
      <c r="N15" s="16"/>
    </row>
    <row r="16" spans="1:15" x14ac:dyDescent="0.25">
      <c r="A16" s="29"/>
      <c r="B16" s="5"/>
      <c r="C16" s="11"/>
      <c r="D16" s="32"/>
      <c r="E16" s="14"/>
      <c r="F16" s="32"/>
      <c r="G16" s="14"/>
      <c r="H16" s="32"/>
      <c r="I16" s="14"/>
      <c r="J16" s="32"/>
      <c r="K16" s="14"/>
      <c r="L16" s="32"/>
      <c r="M16" s="14"/>
      <c r="N16" s="16"/>
    </row>
    <row r="17" spans="1:14" x14ac:dyDescent="0.25">
      <c r="A17" s="29"/>
      <c r="B17" s="5"/>
      <c r="C17" s="11"/>
      <c r="D17" s="32"/>
      <c r="E17" s="14"/>
      <c r="F17" s="32"/>
      <c r="G17" s="14"/>
      <c r="H17" s="32"/>
      <c r="I17" s="14"/>
      <c r="J17" s="32"/>
      <c r="K17" s="14"/>
      <c r="L17" s="32"/>
      <c r="M17" s="14"/>
      <c r="N17" s="16"/>
    </row>
    <row r="18" spans="1:14" x14ac:dyDescent="0.25">
      <c r="A18" s="29"/>
      <c r="B18" s="5"/>
      <c r="C18" s="11"/>
      <c r="D18" s="32"/>
      <c r="E18" s="14"/>
      <c r="F18" s="32"/>
      <c r="G18" s="14"/>
      <c r="H18" s="32"/>
      <c r="I18" s="14"/>
      <c r="J18" s="32"/>
      <c r="K18" s="14"/>
      <c r="L18" s="32"/>
      <c r="M18" s="14"/>
      <c r="N18" s="16"/>
    </row>
    <row r="19" spans="1:14" x14ac:dyDescent="0.25">
      <c r="A19" s="29"/>
      <c r="B19" s="5"/>
      <c r="C19" s="11"/>
      <c r="D19" s="32"/>
      <c r="E19" s="14"/>
      <c r="F19" s="32"/>
      <c r="G19" s="14"/>
      <c r="H19" s="32"/>
      <c r="I19" s="14"/>
      <c r="J19" s="32"/>
      <c r="K19" s="14"/>
      <c r="L19" s="32"/>
      <c r="M19" s="14"/>
      <c r="N19" s="16"/>
    </row>
    <row r="20" spans="1:14" x14ac:dyDescent="0.25">
      <c r="A20" s="29"/>
      <c r="B20" s="5"/>
      <c r="C20" s="11"/>
      <c r="D20" s="32"/>
      <c r="E20" s="14"/>
      <c r="F20" s="32"/>
      <c r="G20" s="14"/>
      <c r="H20" s="32"/>
      <c r="I20" s="14"/>
      <c r="J20" s="32"/>
      <c r="K20" s="14"/>
      <c r="L20" s="32"/>
      <c r="M20" s="14"/>
      <c r="N20" s="16"/>
    </row>
    <row r="21" spans="1:14" x14ac:dyDescent="0.25">
      <c r="A21" s="29"/>
      <c r="B21" s="5"/>
      <c r="C21" s="11"/>
      <c r="D21" s="32"/>
      <c r="E21" s="14"/>
      <c r="F21" s="32"/>
      <c r="G21" s="14"/>
      <c r="H21" s="32"/>
      <c r="I21" s="14"/>
      <c r="J21" s="32"/>
      <c r="K21" s="14"/>
      <c r="L21" s="32"/>
      <c r="M21" s="14"/>
      <c r="N21" s="16"/>
    </row>
    <row r="22" spans="1:14" x14ac:dyDescent="0.25">
      <c r="A22" s="29"/>
      <c r="B22" s="5"/>
      <c r="C22" s="11"/>
      <c r="D22" s="32"/>
      <c r="E22" s="14"/>
      <c r="F22" s="32"/>
      <c r="G22" s="14"/>
      <c r="H22" s="32"/>
      <c r="I22" s="14"/>
      <c r="J22" s="32"/>
      <c r="K22" s="14"/>
      <c r="L22" s="32"/>
      <c r="M22" s="14"/>
      <c r="N22" s="16"/>
    </row>
    <row r="23" spans="1:14" x14ac:dyDescent="0.25">
      <c r="A23" s="29"/>
      <c r="B23" s="5"/>
      <c r="C23" s="11"/>
      <c r="D23" s="32"/>
      <c r="E23" s="14"/>
      <c r="F23" s="32"/>
      <c r="G23" s="14"/>
      <c r="H23" s="32"/>
      <c r="I23" s="14"/>
      <c r="J23" s="32"/>
      <c r="K23" s="14"/>
      <c r="L23" s="32"/>
      <c r="M23" s="14"/>
      <c r="N23" s="16"/>
    </row>
    <row r="24" spans="1:14" x14ac:dyDescent="0.25">
      <c r="A24" s="29"/>
      <c r="B24" s="5"/>
      <c r="C24" s="11"/>
      <c r="D24" s="32"/>
      <c r="E24" s="14"/>
      <c r="F24" s="32"/>
      <c r="G24" s="14"/>
      <c r="H24" s="32"/>
      <c r="I24" s="14"/>
      <c r="J24" s="32"/>
      <c r="K24" s="14"/>
      <c r="L24" s="32"/>
      <c r="M24" s="14"/>
      <c r="N24" s="16"/>
    </row>
    <row r="25" spans="1:14" x14ac:dyDescent="0.25">
      <c r="A25" s="29"/>
      <c r="B25" s="5"/>
      <c r="C25" s="11"/>
      <c r="D25" s="32"/>
      <c r="E25" s="14"/>
      <c r="F25" s="32"/>
      <c r="G25" s="14"/>
      <c r="H25" s="32"/>
      <c r="I25" s="14"/>
      <c r="J25" s="32"/>
      <c r="K25" s="14"/>
      <c r="L25" s="32"/>
      <c r="M25" s="14"/>
      <c r="N25" s="16"/>
    </row>
    <row r="26" spans="1:14" x14ac:dyDescent="0.25">
      <c r="A26" s="29"/>
      <c r="B26" s="5"/>
      <c r="C26" s="11"/>
      <c r="D26" s="32"/>
      <c r="E26" s="14"/>
      <c r="F26" s="32"/>
      <c r="G26" s="14"/>
      <c r="H26" s="32"/>
      <c r="I26" s="14"/>
      <c r="J26" s="32"/>
      <c r="K26" s="14"/>
      <c r="L26" s="32"/>
      <c r="M26" s="14"/>
      <c r="N26" s="16"/>
    </row>
    <row r="27" spans="1:14" x14ac:dyDescent="0.25">
      <c r="A27" s="29"/>
      <c r="B27" s="5"/>
      <c r="C27" s="11"/>
      <c r="D27" s="32"/>
      <c r="E27" s="14"/>
      <c r="F27" s="32"/>
      <c r="G27" s="14"/>
      <c r="H27" s="32"/>
      <c r="I27" s="14"/>
      <c r="J27" s="32"/>
      <c r="K27" s="14"/>
      <c r="L27" s="32"/>
      <c r="M27" s="14"/>
      <c r="N27" s="16"/>
    </row>
    <row r="28" spans="1:14" x14ac:dyDescent="0.25">
      <c r="A28" s="29"/>
      <c r="B28" s="5"/>
      <c r="C28" s="11"/>
      <c r="D28" s="32"/>
      <c r="E28" s="14"/>
      <c r="F28" s="32"/>
      <c r="G28" s="14"/>
      <c r="H28" s="32"/>
      <c r="I28" s="14"/>
      <c r="J28" s="32"/>
      <c r="K28" s="14"/>
      <c r="L28" s="32"/>
      <c r="M28" s="14"/>
      <c r="N28" s="16"/>
    </row>
    <row r="29" spans="1:14" x14ac:dyDescent="0.25">
      <c r="A29" s="29"/>
      <c r="B29" s="5"/>
      <c r="C29" s="11"/>
      <c r="D29" s="32"/>
      <c r="E29" s="14"/>
      <c r="F29" s="32"/>
      <c r="G29" s="14"/>
      <c r="H29" s="32"/>
      <c r="I29" s="14"/>
      <c r="J29" s="32"/>
      <c r="K29" s="14"/>
      <c r="L29" s="32"/>
      <c r="M29" s="14"/>
      <c r="N29" s="16"/>
    </row>
    <row r="30" spans="1:14" ht="13" thickBot="1" x14ac:dyDescent="0.3">
      <c r="A30" s="30"/>
      <c r="B30" s="6"/>
      <c r="C30" s="12"/>
      <c r="D30" s="33"/>
      <c r="E30" s="15"/>
      <c r="F30" s="33"/>
      <c r="G30" s="15"/>
      <c r="H30" s="33"/>
      <c r="I30" s="15"/>
      <c r="J30" s="33"/>
      <c r="K30" s="15"/>
      <c r="L30" s="33"/>
      <c r="M30" s="15"/>
      <c r="N30" s="17"/>
    </row>
    <row r="31" spans="1:14" ht="13" thickTop="1" x14ac:dyDescent="0.25"/>
  </sheetData>
  <mergeCells count="1">
    <mergeCell ref="A1:N1"/>
  </mergeCells>
  <conditionalFormatting sqref="D4:D6 F4:F6 H4:H6 J4:J6 L4:L6">
    <cfRule type="cellIs" dxfId="0" priority="1" operator="equal">
      <formula>"SI"</formula>
    </cfRule>
  </conditionalFormatting>
  <dataValidations count="2">
    <dataValidation type="list" allowBlank="1" showInputMessage="1" showErrorMessage="1" sqref="B4:B6" xr:uid="{BF6BC062-E6BA-475C-B92B-7F4748531350}">
      <formula1>códigos</formula1>
    </dataValidation>
    <dataValidation type="list" allowBlank="1" showInputMessage="1" showErrorMessage="1" sqref="D4:D6 F4:F6 H4:H6 J4:J6 L4:L6" xr:uid="{D81883E5-E579-4EE1-9652-291E3A67B6D5}">
      <formula1>$O$1:$O$2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Modelos de automóviles</vt:lpstr>
      <vt:lpstr>Tabla dinamica</vt:lpstr>
      <vt:lpstr>Ventas 2021</vt:lpstr>
      <vt:lpstr>códigos</vt:lpstr>
    </vt:vector>
  </TitlesOfParts>
  <Company>KAOS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Lozano</dc:creator>
  <cp:lastModifiedBy>david borja mateo</cp:lastModifiedBy>
  <dcterms:created xsi:type="dcterms:W3CDTF">2000-04-02T09:21:25Z</dcterms:created>
  <dcterms:modified xsi:type="dcterms:W3CDTF">2022-02-26T19:22:03Z</dcterms:modified>
</cp:coreProperties>
</file>