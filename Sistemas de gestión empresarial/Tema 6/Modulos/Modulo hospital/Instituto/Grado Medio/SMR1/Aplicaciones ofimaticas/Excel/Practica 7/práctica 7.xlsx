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 firstSheet="2" activeTab="5"/>
  </bookViews>
  <sheets>
    <sheet name="Tabla Ejercicio 1" sheetId="9" r:id="rId1"/>
    <sheet name="Datos ejercicio 1" sheetId="1" r:id="rId2"/>
    <sheet name="Tabla ejercicio 2" sheetId="10" r:id="rId3"/>
    <sheet name="Tabla 2 VEND_TERUEL" sheetId="13" r:id="rId4"/>
    <sheet name="Datos ejercicio 2" sheetId="3" r:id="rId5"/>
    <sheet name="Tabla 3-A" sheetId="11" r:id="rId6"/>
    <sheet name="Tabla 3-B" sheetId="12" r:id="rId7"/>
    <sheet name="Datos ejercicio 3" sheetId="7" r:id="rId8"/>
  </sheets>
  <calcPr calcId="162913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12" i="7"/>
  <c r="F13" i="7"/>
  <c r="F2" i="7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<sst xmlns="http://schemas.openxmlformats.org/spreadsheetml/2006/main" count="157" uniqueCount="82">
  <si>
    <t>Semestres</t>
  </si>
  <si>
    <t>Artículo</t>
  </si>
  <si>
    <t>Unidades</t>
  </si>
  <si>
    <t>Importe</t>
  </si>
  <si>
    <t>Primer semestre</t>
  </si>
  <si>
    <t>Mesas</t>
  </si>
  <si>
    <t>Sillas</t>
  </si>
  <si>
    <t>MESAS</t>
  </si>
  <si>
    <t>Sillones</t>
  </si>
  <si>
    <t>SILLAS</t>
  </si>
  <si>
    <t>Segundo semestre</t>
  </si>
  <si>
    <t>SILLONES</t>
  </si>
  <si>
    <t>VENDEDOR</t>
  </si>
  <si>
    <t>CIUDAD</t>
  </si>
  <si>
    <t>ENERO</t>
  </si>
  <si>
    <t>FEBRERO</t>
  </si>
  <si>
    <t>MARZO</t>
  </si>
  <si>
    <t>Rocío Ramos</t>
  </si>
  <si>
    <t>Huesca</t>
  </si>
  <si>
    <t>José Alonso</t>
  </si>
  <si>
    <t>Carlota Casillas</t>
  </si>
  <si>
    <t>Teruel</t>
  </si>
  <si>
    <t>Antonio Canales</t>
  </si>
  <si>
    <t>Ana Gutiérrez</t>
  </si>
  <si>
    <t>Zaragoza</t>
  </si>
  <si>
    <t>Luis González</t>
  </si>
  <si>
    <t>VENDEDORES DE ARAGÓN
PRIMER TRIMESTRE</t>
  </si>
  <si>
    <t>MES</t>
  </si>
  <si>
    <t>Nº COCHE</t>
  </si>
  <si>
    <t>REF. REPARACIÓN</t>
  </si>
  <si>
    <t>HORAS</t>
  </si>
  <si>
    <t>P/HORA M.O.</t>
  </si>
  <si>
    <t>TOTAL</t>
  </si>
  <si>
    <t>Enero</t>
  </si>
  <si>
    <t>Febrero</t>
  </si>
  <si>
    <t>Abril</t>
  </si>
  <si>
    <t>Junio</t>
  </si>
  <si>
    <t>Septiembre</t>
  </si>
  <si>
    <t>Octubre</t>
  </si>
  <si>
    <t>Diciembre</t>
  </si>
  <si>
    <t>Etiquetas de fila</t>
  </si>
  <si>
    <t>Total general</t>
  </si>
  <si>
    <t>Suma de Unidades</t>
  </si>
  <si>
    <t>Suma de Importe</t>
  </si>
  <si>
    <t>Suma de ENERO</t>
  </si>
  <si>
    <t>Suma de FEBRERO</t>
  </si>
  <si>
    <t>Suma de MARZO</t>
  </si>
  <si>
    <t>Promedio Mesas</t>
  </si>
  <si>
    <t>Promedio Sillas</t>
  </si>
  <si>
    <t>Promedio Sillones</t>
  </si>
  <si>
    <t>Suma de HORAS</t>
  </si>
  <si>
    <t>Suma de TOTAL</t>
  </si>
  <si>
    <t>Suma Enero</t>
  </si>
  <si>
    <t>Promedio Enero</t>
  </si>
  <si>
    <t>Suma Abril</t>
  </si>
  <si>
    <t>Promedio Abril</t>
  </si>
  <si>
    <t>Suma Junio</t>
  </si>
  <si>
    <t>Promedio Junio</t>
  </si>
  <si>
    <t>Suma Septiembre</t>
  </si>
  <si>
    <t>Promedio Septiembre</t>
  </si>
  <si>
    <t>Suma Octubre</t>
  </si>
  <si>
    <t>Promedio Octubre</t>
  </si>
  <si>
    <t>Suma Diciembre</t>
  </si>
  <si>
    <t>Promedio Diciembre</t>
  </si>
  <si>
    <t>Suma Febrero</t>
  </si>
  <si>
    <t>Promedio Febrero</t>
  </si>
  <si>
    <t>Máx. Enero</t>
  </si>
  <si>
    <t>Máx. Febrero</t>
  </si>
  <si>
    <t>Máx. Abril</t>
  </si>
  <si>
    <t>Máx. Junio</t>
  </si>
  <si>
    <t>Máx. Septiembre</t>
  </si>
  <si>
    <t>Máx. Octubre</t>
  </si>
  <si>
    <t>Máx. Diciembre</t>
  </si>
  <si>
    <t>Mín. Enero</t>
  </si>
  <si>
    <t>Mín. Febrero</t>
  </si>
  <si>
    <t>Mín. Abril</t>
  </si>
  <si>
    <t>Mín. Junio</t>
  </si>
  <si>
    <t>Mín. Septiembre</t>
  </si>
  <si>
    <t>Mín. Octubre</t>
  </si>
  <si>
    <t>Mín. Diciembre</t>
  </si>
  <si>
    <t>Promedio 2</t>
  </si>
  <si>
    <t>Promedio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</si>
</sst>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4"/>
      <color indexed="8"/>
      <name val="Calibri"/>
    </font>
    <font>
      <b/>
      <sz val="11"/>
      <color indexed="10"/>
      <name val="Calibri"/>
    </font>
    <font>
      <b/>
      <sz val="12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1" xfId="0" applyFont="1" applyBorder="1"/>
    <xf numFmtId="164" fontId="1" fillId="0" borderId="2" xfId="0" applyNumberFormat="1" applyFont="1" applyBorder="1"/>
    <xf numFmtId="0" fontId="1" fillId="0" borderId="3" xfId="0" applyFont="1" applyBorder="1"/>
    <xf numFmtId="164" fontId="1" fillId="0" borderId="4" xfId="0" applyNumberFormat="1" applyFont="1" applyBorder="1"/>
    <xf numFmtId="0" fontId="1" fillId="0" borderId="5" xfId="0" applyFont="1" applyBorder="1"/>
    <xf numFmtId="164" fontId="1" fillId="0" borderId="6" xfId="0" applyNumberFormat="1" applyFont="1" applyBorder="1"/>
    <xf numFmtId="0" fontId="3" fillId="0" borderId="7" xfId="0" applyFont="1" applyBorder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0" fontId="4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[práctica 7.xlsx]Tabla ejercicio 2!TablaDinámica3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ejercicio 2'!$B$3</c:f>
              <c:strCache>
                <c:ptCount val="1"/>
                <c:pt idx="0">
                  <c:v>Suma de ENERO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 ejercicio 2'!$A$4:$A$15</c:f>
              <c:multiLvlStrCache>
                <c:ptCount val="8"/>
                <c:lvl>
                  <c:pt idx="0">
                    <c:v>José Alonso</c:v>
                  </c:pt>
                  <c:pt idx="1">
                    <c:v>Luis González</c:v>
                  </c:pt>
                  <c:pt idx="2">
                    <c:v>Rocío Ramos</c:v>
                  </c:pt>
                  <c:pt idx="3">
                    <c:v>Ana Gutiérrez</c:v>
                  </c:pt>
                  <c:pt idx="4">
                    <c:v>Antonio Canales</c:v>
                  </c:pt>
                  <c:pt idx="5">
                    <c:v>Carlota Casillas</c:v>
                  </c:pt>
                  <c:pt idx="6">
                    <c:v>Ana Gutiérrez</c:v>
                  </c:pt>
                  <c:pt idx="7">
                    <c:v>Luis González</c:v>
                  </c:pt>
                </c:lvl>
                <c:lvl>
                  <c:pt idx="0">
                    <c:v>Huesca</c:v>
                  </c:pt>
                  <c:pt idx="3">
                    <c:v>Teruel</c:v>
                  </c:pt>
                  <c:pt idx="6">
                    <c:v>Zaragoza</c:v>
                  </c:pt>
                </c:lvl>
              </c:multiLvlStrCache>
            </c:multiLvlStrRef>
          </c:cat>
          <c:val>
            <c:numRef>
              <c:f>'Tabla ejercicio 2'!$B$4:$B$15</c:f>
              <c:numCache>
                <c:formatCode>General</c:formatCode>
                <c:ptCount val="8"/>
                <c:pt idx="0">
                  <c:v>17432</c:v>
                </c:pt>
                <c:pt idx="1">
                  <c:v>10995</c:v>
                </c:pt>
                <c:pt idx="2">
                  <c:v>18520</c:v>
                </c:pt>
                <c:pt idx="3">
                  <c:v>15836</c:v>
                </c:pt>
                <c:pt idx="4">
                  <c:v>19789</c:v>
                </c:pt>
                <c:pt idx="5">
                  <c:v>19234</c:v>
                </c:pt>
                <c:pt idx="6">
                  <c:v>22678</c:v>
                </c:pt>
                <c:pt idx="7">
                  <c:v>23125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6-4296-910A-E189028F796E}"/>
            </c:ext>
          </c:extLst>
        </c:ser>
        <c:ser>
          <c:idx val="1"/>
          <c:order val="1"/>
          <c:tx>
            <c:strRef>
              <c:f>'Tabla ejercicio 2'!$C$3</c:f>
              <c:strCache>
                <c:ptCount val="1"/>
                <c:pt idx="0">
                  <c:v>Suma de FEBRERO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 ejercicio 2'!$A$4:$A$15</c:f>
              <c:multiLvlStrCache>
                <c:ptCount val="8"/>
                <c:lvl>
                  <c:pt idx="0">
                    <c:v>José Alonso</c:v>
                  </c:pt>
                  <c:pt idx="1">
                    <c:v>Luis González</c:v>
                  </c:pt>
                  <c:pt idx="2">
                    <c:v>Rocío Ramos</c:v>
                  </c:pt>
                  <c:pt idx="3">
                    <c:v>Ana Gutiérrez</c:v>
                  </c:pt>
                  <c:pt idx="4">
                    <c:v>Antonio Canales</c:v>
                  </c:pt>
                  <c:pt idx="5">
                    <c:v>Carlota Casillas</c:v>
                  </c:pt>
                  <c:pt idx="6">
                    <c:v>Ana Gutiérrez</c:v>
                  </c:pt>
                  <c:pt idx="7">
                    <c:v>Luis González</c:v>
                  </c:pt>
                </c:lvl>
                <c:lvl>
                  <c:pt idx="0">
                    <c:v>Huesca</c:v>
                  </c:pt>
                  <c:pt idx="3">
                    <c:v>Teruel</c:v>
                  </c:pt>
                  <c:pt idx="6">
                    <c:v>Zaragoza</c:v>
                  </c:pt>
                </c:lvl>
              </c:multiLvlStrCache>
            </c:multiLvlStrRef>
          </c:cat>
          <c:val>
            <c:numRef>
              <c:f>'Tabla ejercicio 2'!$C$4:$C$15</c:f>
              <c:numCache>
                <c:formatCode>General</c:formatCode>
                <c:ptCount val="8"/>
                <c:pt idx="0">
                  <c:v>19100</c:v>
                </c:pt>
                <c:pt idx="1">
                  <c:v>21155</c:v>
                </c:pt>
                <c:pt idx="2">
                  <c:v>17894</c:v>
                </c:pt>
                <c:pt idx="3">
                  <c:v>12123</c:v>
                </c:pt>
                <c:pt idx="4">
                  <c:v>17456</c:v>
                </c:pt>
                <c:pt idx="5">
                  <c:v>18743</c:v>
                </c:pt>
                <c:pt idx="6">
                  <c:v>23890</c:v>
                </c:pt>
                <c:pt idx="7">
                  <c:v>22732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6-4296-910A-E189028F796E}"/>
            </c:ext>
          </c:extLst>
        </c:ser>
        <c:ser>
          <c:idx val="2"/>
          <c:order val="2"/>
          <c:tx>
            <c:strRef>
              <c:f>'Tabla ejercicio 2'!$D$3</c:f>
              <c:strCache>
                <c:ptCount val="1"/>
                <c:pt idx="0">
                  <c:v>Suma de MARZO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'Tabla ejercicio 2'!$A$4:$A$15</c:f>
              <c:multiLvlStrCache>
                <c:ptCount val="8"/>
                <c:lvl>
                  <c:pt idx="0">
                    <c:v>José Alonso</c:v>
                  </c:pt>
                  <c:pt idx="1">
                    <c:v>Luis González</c:v>
                  </c:pt>
                  <c:pt idx="2">
                    <c:v>Rocío Ramos</c:v>
                  </c:pt>
                  <c:pt idx="3">
                    <c:v>Ana Gutiérrez</c:v>
                  </c:pt>
                  <c:pt idx="4">
                    <c:v>Antonio Canales</c:v>
                  </c:pt>
                  <c:pt idx="5">
                    <c:v>Carlota Casillas</c:v>
                  </c:pt>
                  <c:pt idx="6">
                    <c:v>Ana Gutiérrez</c:v>
                  </c:pt>
                  <c:pt idx="7">
                    <c:v>Luis González</c:v>
                  </c:pt>
                </c:lvl>
                <c:lvl>
                  <c:pt idx="0">
                    <c:v>Huesca</c:v>
                  </c:pt>
                  <c:pt idx="3">
                    <c:v>Teruel</c:v>
                  </c:pt>
                  <c:pt idx="6">
                    <c:v>Zaragoza</c:v>
                  </c:pt>
                </c:lvl>
              </c:multiLvlStrCache>
            </c:multiLvlStrRef>
          </c:cat>
          <c:val>
            <c:numRef>
              <c:f>'Tabla ejercicio 2'!$D$4:$D$15</c:f>
              <c:numCache>
                <c:formatCode>General</c:formatCode>
                <c:ptCount val="8"/>
                <c:pt idx="0">
                  <c:v>18789</c:v>
                </c:pt>
                <c:pt idx="1">
                  <c:v>12500</c:v>
                </c:pt>
                <c:pt idx="2">
                  <c:v>19890</c:v>
                </c:pt>
                <c:pt idx="3">
                  <c:v>18555</c:v>
                </c:pt>
                <c:pt idx="4">
                  <c:v>18425</c:v>
                </c:pt>
                <c:pt idx="5">
                  <c:v>18675</c:v>
                </c:pt>
                <c:pt idx="6">
                  <c:v>24567</c:v>
                </c:pt>
                <c:pt idx="7">
                  <c:v>23789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36-4296-910A-E189028F7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54064"/>
        <c:axId val="38856560"/>
      </c:barChart>
      <c:catAx>
        <c:axId val="3885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856560"/>
        <c:crosses val="autoZero"/>
        <c:auto val="1"/>
        <c:lblAlgn val="ctr"/>
        <c:lblOffset val="100"/>
        <c:noMultiLvlLbl val="0"/>
      </c:catAx>
      <c:valAx>
        <c:axId val="388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85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[práctica 7.xlsx]Tabla 3-A!TablaDinámica4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3-A'!$B$3</c:f>
              <c:strCache>
                <c:ptCount val="1"/>
                <c:pt idx="0">
                  <c:v>Suma de HORAS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 3-A'!$A$4:$A$32</c:f>
              <c:multiLvlStrCache>
                <c:ptCount val="12"/>
                <c:lvl>
                  <c:pt idx="0">
                    <c:v>Enero</c:v>
                  </c:pt>
                  <c:pt idx="1">
                    <c:v>Abril</c:v>
                  </c:pt>
                  <c:pt idx="2">
                    <c:v>Junio</c:v>
                  </c:pt>
                  <c:pt idx="3">
                    <c:v>Septiembre</c:v>
                  </c:pt>
                  <c:pt idx="4">
                    <c:v>Octubre</c:v>
                  </c:pt>
                  <c:pt idx="5">
                    <c:v>Diciembre</c:v>
                  </c:pt>
                  <c:pt idx="6">
                    <c:v>Enero</c:v>
                  </c:pt>
                  <c:pt idx="7">
                    <c:v>Febrero</c:v>
                  </c:pt>
                  <c:pt idx="8">
                    <c:v>Abril</c:v>
                  </c:pt>
                  <c:pt idx="9">
                    <c:v>Junio</c:v>
                  </c:pt>
                  <c:pt idx="10">
                    <c:v>Octubre</c:v>
                  </c:pt>
                  <c:pt idx="11">
                    <c:v>Diciembre</c:v>
                  </c:pt>
                </c:lvl>
                <c:lvl>
                  <c:pt idx="0">
                    <c:v>2</c:v>
                  </c:pt>
                  <c:pt idx="6">
                    <c:v>5</c:v>
                  </c:pt>
                </c:lvl>
              </c:multiLvlStrCache>
            </c:multiLvlStrRef>
          </c:cat>
          <c:val>
            <c:numRef>
              <c:f>'Tabla 3-A'!$B$4:$B$32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1-4019-AA60-94F5E1F71DF8}"/>
            </c:ext>
          </c:extLst>
        </c:ser>
        <c:ser>
          <c:idx val="1"/>
          <c:order val="1"/>
          <c:tx>
            <c:strRef>
              <c:f>'Tabla 3-A'!$C$3</c:f>
              <c:strCache>
                <c:ptCount val="1"/>
                <c:pt idx="0">
                  <c:v>Suma de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 3-A'!$A$4:$A$32</c:f>
              <c:multiLvlStrCache>
                <c:ptCount val="12"/>
                <c:lvl>
                  <c:pt idx="0">
                    <c:v>Enero</c:v>
                  </c:pt>
                  <c:pt idx="1">
                    <c:v>Abril</c:v>
                  </c:pt>
                  <c:pt idx="2">
                    <c:v>Junio</c:v>
                  </c:pt>
                  <c:pt idx="3">
                    <c:v>Septiembre</c:v>
                  </c:pt>
                  <c:pt idx="4">
                    <c:v>Octubre</c:v>
                  </c:pt>
                  <c:pt idx="5">
                    <c:v>Diciembre</c:v>
                  </c:pt>
                  <c:pt idx="6">
                    <c:v>Enero</c:v>
                  </c:pt>
                  <c:pt idx="7">
                    <c:v>Febrero</c:v>
                  </c:pt>
                  <c:pt idx="8">
                    <c:v>Abril</c:v>
                  </c:pt>
                  <c:pt idx="9">
                    <c:v>Junio</c:v>
                  </c:pt>
                  <c:pt idx="10">
                    <c:v>Octubre</c:v>
                  </c:pt>
                  <c:pt idx="11">
                    <c:v>Diciembre</c:v>
                  </c:pt>
                </c:lvl>
                <c:lvl>
                  <c:pt idx="0">
                    <c:v>2</c:v>
                  </c:pt>
                  <c:pt idx="6">
                    <c:v>5</c:v>
                  </c:pt>
                </c:lvl>
              </c:multiLvlStrCache>
            </c:multiLvlStrRef>
          </c:cat>
          <c:val>
            <c:numRef>
              <c:f>'Tabla 3-A'!$C$4:$C$32</c:f>
              <c:numCache>
                <c:formatCode>General</c:formatCode>
                <c:ptCount val="12"/>
                <c:pt idx="0">
                  <c:v>100</c:v>
                </c:pt>
                <c:pt idx="1">
                  <c:v>40</c:v>
                </c:pt>
                <c:pt idx="2">
                  <c:v>20</c:v>
                </c:pt>
                <c:pt idx="3">
                  <c:v>80</c:v>
                </c:pt>
                <c:pt idx="4">
                  <c:v>80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40</c:v>
                </c:pt>
                <c:pt idx="9">
                  <c:v>60</c:v>
                </c:pt>
                <c:pt idx="10">
                  <c:v>40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1-4019-AA60-94F5E1F71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59888"/>
        <c:axId val="38855728"/>
      </c:barChart>
      <c:catAx>
        <c:axId val="3885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855728"/>
        <c:crosses val="autoZero"/>
        <c:auto val="1"/>
        <c:lblAlgn val="ctr"/>
        <c:lblOffset val="100"/>
        <c:noMultiLvlLbl val="0"/>
      </c:catAx>
      <c:valAx>
        <c:axId val="388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85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[práctica 7.xlsx]Tabla 3-B!TablaDinámica5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3-B'!$B$3</c:f>
              <c:strCache>
                <c:ptCount val="1"/>
                <c:pt idx="0">
                  <c:v>Suma de HORAS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 3-B'!$A$4:$A$39</c:f>
              <c:multiLvlStrCache>
                <c:ptCount val="12"/>
                <c:lvl>
                  <c:pt idx="0">
                    <c:v>2</c:v>
                  </c:pt>
                  <c:pt idx="1">
                    <c:v>5</c:v>
                  </c:pt>
                  <c:pt idx="2">
                    <c:v>5</c:v>
                  </c:pt>
                  <c:pt idx="3">
                    <c:v>2</c:v>
                  </c:pt>
                  <c:pt idx="4">
                    <c:v>5</c:v>
                  </c:pt>
                  <c:pt idx="5">
                    <c:v>2</c:v>
                  </c:pt>
                  <c:pt idx="6">
                    <c:v>5</c:v>
                  </c:pt>
                  <c:pt idx="7">
                    <c:v>2</c:v>
                  </c:pt>
                  <c:pt idx="8">
                    <c:v>2</c:v>
                  </c:pt>
                  <c:pt idx="9">
                    <c:v>5</c:v>
                  </c:pt>
                  <c:pt idx="10">
                    <c:v>2</c:v>
                  </c:pt>
                  <c:pt idx="11">
                    <c:v>5</c:v>
                  </c:pt>
                </c:lvl>
                <c:lvl>
                  <c:pt idx="0">
                    <c:v>Enero</c:v>
                  </c:pt>
                  <c:pt idx="2">
                    <c:v>Febrero</c:v>
                  </c:pt>
                  <c:pt idx="3">
                    <c:v>Abril</c:v>
                  </c:pt>
                  <c:pt idx="5">
                    <c:v>Junio</c:v>
                  </c:pt>
                  <c:pt idx="7">
                    <c:v>Septiembre</c:v>
                  </c:pt>
                  <c:pt idx="8">
                    <c:v>Octubre</c:v>
                  </c:pt>
                  <c:pt idx="10">
                    <c:v>Diciembre</c:v>
                  </c:pt>
                </c:lvl>
              </c:multiLvlStrCache>
            </c:multiLvlStrRef>
          </c:cat>
          <c:val>
            <c:numRef>
              <c:f>'Tabla 3-B'!$B$4:$B$39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A-4EC4-A642-EB03F577C7F3}"/>
            </c:ext>
          </c:extLst>
        </c:ser>
        <c:ser>
          <c:idx val="1"/>
          <c:order val="1"/>
          <c:tx>
            <c:strRef>
              <c:f>'Tabla 3-B'!$C$3</c:f>
              <c:strCache>
                <c:ptCount val="1"/>
                <c:pt idx="0">
                  <c:v>Suma de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 3-B'!$A$4:$A$39</c:f>
              <c:multiLvlStrCache>
                <c:ptCount val="12"/>
                <c:lvl>
                  <c:pt idx="0">
                    <c:v>2</c:v>
                  </c:pt>
                  <c:pt idx="1">
                    <c:v>5</c:v>
                  </c:pt>
                  <c:pt idx="2">
                    <c:v>5</c:v>
                  </c:pt>
                  <c:pt idx="3">
                    <c:v>2</c:v>
                  </c:pt>
                  <c:pt idx="4">
                    <c:v>5</c:v>
                  </c:pt>
                  <c:pt idx="5">
                    <c:v>2</c:v>
                  </c:pt>
                  <c:pt idx="6">
                    <c:v>5</c:v>
                  </c:pt>
                  <c:pt idx="7">
                    <c:v>2</c:v>
                  </c:pt>
                  <c:pt idx="8">
                    <c:v>2</c:v>
                  </c:pt>
                  <c:pt idx="9">
                    <c:v>5</c:v>
                  </c:pt>
                  <c:pt idx="10">
                    <c:v>2</c:v>
                  </c:pt>
                  <c:pt idx="11">
                    <c:v>5</c:v>
                  </c:pt>
                </c:lvl>
                <c:lvl>
                  <c:pt idx="0">
                    <c:v>Enero</c:v>
                  </c:pt>
                  <c:pt idx="2">
                    <c:v>Febrero</c:v>
                  </c:pt>
                  <c:pt idx="3">
                    <c:v>Abril</c:v>
                  </c:pt>
                  <c:pt idx="5">
                    <c:v>Junio</c:v>
                  </c:pt>
                  <c:pt idx="7">
                    <c:v>Septiembre</c:v>
                  </c:pt>
                  <c:pt idx="8">
                    <c:v>Octubre</c:v>
                  </c:pt>
                  <c:pt idx="10">
                    <c:v>Diciembre</c:v>
                  </c:pt>
                </c:lvl>
              </c:multiLvlStrCache>
            </c:multiLvlStrRef>
          </c:cat>
          <c:val>
            <c:numRef>
              <c:f>'Tabla 3-B'!$C$4:$C$39</c:f>
              <c:numCache>
                <c:formatCode>General</c:formatCode>
                <c:ptCount val="12"/>
                <c:pt idx="0">
                  <c:v>100</c:v>
                </c:pt>
                <c:pt idx="1">
                  <c:v>40</c:v>
                </c:pt>
                <c:pt idx="2">
                  <c:v>60</c:v>
                </c:pt>
                <c:pt idx="3">
                  <c:v>40</c:v>
                </c:pt>
                <c:pt idx="4">
                  <c:v>40</c:v>
                </c:pt>
                <c:pt idx="5">
                  <c:v>20</c:v>
                </c:pt>
                <c:pt idx="6">
                  <c:v>60</c:v>
                </c:pt>
                <c:pt idx="7">
                  <c:v>80</c:v>
                </c:pt>
                <c:pt idx="8">
                  <c:v>80</c:v>
                </c:pt>
                <c:pt idx="9">
                  <c:v>40</c:v>
                </c:pt>
                <c:pt idx="10">
                  <c:v>20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A-4EC4-A642-EB03F577C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493872"/>
        <c:axId val="44491376"/>
      </c:barChart>
      <c:catAx>
        <c:axId val="4449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491376"/>
        <c:crosses val="autoZero"/>
        <c:auto val="1"/>
        <c:lblAlgn val="ctr"/>
        <c:lblOffset val="100"/>
        <c:noMultiLvlLbl val="0"/>
      </c:catAx>
      <c:valAx>
        <c:axId val="4449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49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</xdr:row>
      <xdr:rowOff>123825</xdr:rowOff>
    </xdr:from>
    <xdr:to>
      <xdr:col>10</xdr:col>
      <xdr:colOff>276225</xdr:colOff>
      <xdr:row>16</xdr:row>
      <xdr:rowOff>9525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4</xdr:row>
      <xdr:rowOff>161925</xdr:rowOff>
    </xdr:from>
    <xdr:to>
      <xdr:col>11</xdr:col>
      <xdr:colOff>304800</xdr:colOff>
      <xdr:row>19</xdr:row>
      <xdr:rowOff>47625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2</xdr:row>
      <xdr:rowOff>0</xdr:rowOff>
    </xdr:from>
    <xdr:to>
      <xdr:col>7</xdr:col>
      <xdr:colOff>38100</xdr:colOff>
      <xdr:row>16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&#225;ctica%207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&#225;ctica%207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&#225;ctica%207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4603.50619537037" createdVersion="6" refreshedVersion="6" minRefreshableVersion="3" recordCount="6">
  <cacheSource type="worksheet">
    <worksheetSource ref="A1:D7" sheet="Datos ejercicio 1" r:id="rId2"/>
  </cacheSource>
  <cacheFields count="4">
    <cacheField name="Semestres" numFmtId="0">
      <sharedItems count="2">
        <s v="Primer semestre"/>
        <s v="Segundo semestre"/>
      </sharedItems>
    </cacheField>
    <cacheField name="Artículo" numFmtId="0">
      <sharedItems count="3">
        <s v="Mesas"/>
        <s v="Sillas"/>
        <s v="Sillones"/>
      </sharedItems>
    </cacheField>
    <cacheField name="Unidades" numFmtId="0">
      <sharedItems containsSemiMixedTypes="0" containsString="0" containsNumber="1" containsInteger="1" minValue="124" maxValue="456" count="6">
        <n v="345"/>
        <n v="456"/>
        <n v="342"/>
        <n v="357"/>
        <n v="124"/>
        <n v="255"/>
      </sharedItems>
    </cacheField>
    <cacheField name="Importe" numFmtId="164">
      <sharedItems containsSemiMixedTypes="0" containsString="0" containsNumber="1" containsInteger="1" minValue="9920" maxValue="191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or" refreshedDate="44603.507808796297" createdVersion="6" refreshedVersion="6" minRefreshableVersion="3" recordCount="8">
  <cacheSource type="worksheet">
    <worksheetSource ref="A3:E11" sheet="Datos ejercicio 2" r:id="rId2"/>
  </cacheSource>
  <cacheFields count="5">
    <cacheField name="VENDEDOR" numFmtId="0">
      <sharedItems count="6">
        <s v="Rocío Ramos"/>
        <s v="José Alonso"/>
        <s v="Carlota Casillas"/>
        <s v="Antonio Canales"/>
        <s v="Ana Gutiérrez"/>
        <s v="Luis González"/>
      </sharedItems>
    </cacheField>
    <cacheField name="CIUDAD" numFmtId="0">
      <sharedItems count="3">
        <s v="Huesca"/>
        <s v="Teruel"/>
        <s v="Zaragoza"/>
      </sharedItems>
    </cacheField>
    <cacheField name="ENERO" numFmtId="164">
      <sharedItems containsSemiMixedTypes="0" containsString="0" containsNumber="1" containsInteger="1" minValue="10995" maxValue="23125"/>
    </cacheField>
    <cacheField name="FEBRERO" numFmtId="164">
      <sharedItems containsSemiMixedTypes="0" containsString="0" containsNumber="1" containsInteger="1" minValue="12123" maxValue="23890"/>
    </cacheField>
    <cacheField name="MARZO" numFmtId="164">
      <sharedItems containsSemiMixedTypes="0" containsString="0" containsNumber="1" containsInteger="1" minValue="12500" maxValue="245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or" refreshedDate="44603.51061099537" createdVersion="6" refreshedVersion="6" minRefreshableVersion="3" recordCount="12">
  <cacheSource type="worksheet">
    <worksheetSource ref="A1:F13" sheet="Datos ejercicio 3" r:id="rId2"/>
  </cacheSource>
  <cacheFields count="6">
    <cacheField name="MES" numFmtId="0">
      <sharedItems count="7">
        <s v="Enero"/>
        <s v="Febrero"/>
        <s v="Abril"/>
        <s v="Junio"/>
        <s v="Septiembre"/>
        <s v="Octubre"/>
        <s v="Diciembre"/>
      </sharedItems>
    </cacheField>
    <cacheField name="Nº COCHE" numFmtId="0">
      <sharedItems containsSemiMixedTypes="0" containsString="0" containsNumber="1" containsInteger="1" minValue="2" maxValue="5" count="2">
        <n v="2"/>
        <n v="5"/>
      </sharedItems>
    </cacheField>
    <cacheField name="REF. REPARACIÓN" numFmtId="0">
      <sharedItems containsSemiMixedTypes="0" containsString="0" containsNumber="1" containsInteger="1" minValue="10100" maxValue="10506"/>
    </cacheField>
    <cacheField name="HORAS" numFmtId="0">
      <sharedItems containsSemiMixedTypes="0" containsString="0" containsNumber="1" containsInteger="1" minValue="1" maxValue="5"/>
    </cacheField>
    <cacheField name="P/HORA M.O." numFmtId="164">
      <sharedItems containsSemiMixedTypes="0" containsString="0" containsNumber="1" containsInteger="1" minValue="20" maxValue="20"/>
    </cacheField>
    <cacheField name="TOTAL" numFmtId="164">
      <sharedItems containsSemiMixedTypes="0" containsString="0" containsNumber="1" containsInteger="1" minValue="2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n v="69000"/>
  </r>
  <r>
    <x v="0"/>
    <x v="1"/>
    <x v="1"/>
    <n v="36480"/>
  </r>
  <r>
    <x v="0"/>
    <x v="2"/>
    <x v="2"/>
    <n v="191520"/>
  </r>
  <r>
    <x v="1"/>
    <x v="0"/>
    <x v="3"/>
    <n v="71400"/>
  </r>
  <r>
    <x v="1"/>
    <x v="1"/>
    <x v="4"/>
    <n v="9920"/>
  </r>
  <r>
    <x v="1"/>
    <x v="2"/>
    <x v="5"/>
    <n v="142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x v="0"/>
    <x v="0"/>
    <n v="18520"/>
    <n v="17894"/>
    <n v="19890"/>
  </r>
  <r>
    <x v="1"/>
    <x v="0"/>
    <n v="17432"/>
    <n v="19100"/>
    <n v="18789"/>
  </r>
  <r>
    <x v="2"/>
    <x v="1"/>
    <n v="19234"/>
    <n v="18743"/>
    <n v="18675"/>
  </r>
  <r>
    <x v="3"/>
    <x v="1"/>
    <n v="19789"/>
    <n v="17456"/>
    <n v="18425"/>
  </r>
  <r>
    <x v="4"/>
    <x v="2"/>
    <n v="22678"/>
    <n v="23890"/>
    <n v="24567"/>
  </r>
  <r>
    <x v="4"/>
    <x v="1"/>
    <n v="15836"/>
    <n v="12123"/>
    <n v="18555"/>
  </r>
  <r>
    <x v="5"/>
    <x v="0"/>
    <n v="10995"/>
    <n v="21155"/>
    <n v="12500"/>
  </r>
  <r>
    <x v="5"/>
    <x v="2"/>
    <n v="23125"/>
    <n v="22732"/>
    <n v="2378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">
  <r>
    <x v="0"/>
    <x v="0"/>
    <n v="10502"/>
    <n v="5"/>
    <n v="20"/>
    <n v="100"/>
  </r>
  <r>
    <x v="1"/>
    <x v="1"/>
    <n v="10506"/>
    <n v="3"/>
    <n v="20"/>
    <n v="60"/>
  </r>
  <r>
    <x v="2"/>
    <x v="1"/>
    <n v="10415"/>
    <n v="2"/>
    <n v="20"/>
    <n v="40"/>
  </r>
  <r>
    <x v="3"/>
    <x v="0"/>
    <n v="10256"/>
    <n v="1"/>
    <n v="20"/>
    <n v="20"/>
  </r>
  <r>
    <x v="4"/>
    <x v="0"/>
    <n v="10100"/>
    <n v="4"/>
    <n v="20"/>
    <n v="80"/>
  </r>
  <r>
    <x v="0"/>
    <x v="1"/>
    <n v="10502"/>
    <n v="2"/>
    <n v="20"/>
    <n v="40"/>
  </r>
  <r>
    <x v="2"/>
    <x v="0"/>
    <n v="10125"/>
    <n v="2"/>
    <n v="20"/>
    <n v="40"/>
  </r>
  <r>
    <x v="3"/>
    <x v="1"/>
    <n v="10500"/>
    <n v="3"/>
    <n v="20"/>
    <n v="60"/>
  </r>
  <r>
    <x v="5"/>
    <x v="0"/>
    <n v="10125"/>
    <n v="4"/>
    <n v="20"/>
    <n v="80"/>
  </r>
  <r>
    <x v="5"/>
    <x v="1"/>
    <n v="10410"/>
    <n v="2"/>
    <n v="20"/>
    <n v="40"/>
  </r>
  <r>
    <x v="6"/>
    <x v="1"/>
    <n v="10325"/>
    <n v="4"/>
    <n v="20"/>
    <n v="80"/>
  </r>
  <r>
    <x v="6"/>
    <x v="0"/>
    <n v="10265"/>
    <n v="1"/>
    <n v="2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C15" firstHeaderRow="0" firstDataRow="1" firstDataCol="1"/>
  <pivotFields count="4">
    <pivotField axis="axisRow" showAll="0">
      <items count="3">
        <item x="0"/>
        <item x="1"/>
        <item t="default"/>
      </items>
    </pivotField>
    <pivotField axis="axisRow" showAll="0" avgSubtotal="1">
      <items count="4">
        <item x="0"/>
        <item x="1"/>
        <item x="2"/>
        <item t="avg"/>
      </items>
    </pivotField>
    <pivotField dataField="1" showAll="0">
      <items count="7">
        <item x="4"/>
        <item x="5"/>
        <item x="2"/>
        <item x="0"/>
        <item x="3"/>
        <item x="1"/>
        <item t="default"/>
      </items>
    </pivotField>
    <pivotField dataField="1" numFmtId="164" showAll="0"/>
  </pivotFields>
  <rowFields count="2">
    <field x="0"/>
    <field x="1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avg">
      <x v="1048832"/>
      <x/>
    </i>
    <i t="avg" r="1">
      <x v="1"/>
    </i>
    <i t="avg"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Unidades" fld="2" baseField="0" baseItem="0"/>
    <dataField name="Suma de Importe" fld="3" baseField="0" baseItem="0"/>
  </dataFields>
  <chartFormats count="10"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D15" firstHeaderRow="0" firstDataRow="1" firstDataCol="1"/>
  <pivotFields count="5">
    <pivotField axis="axisRow" showAll="0">
      <items count="7">
        <item x="4"/>
        <item x="3"/>
        <item x="2"/>
        <item x="1"/>
        <item x="5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64" showAll="0"/>
    <pivotField dataField="1" numFmtId="164" showAll="0"/>
    <pivotField dataField="1" numFmtId="164" showAll="0"/>
  </pivotFields>
  <rowFields count="2">
    <field x="1"/>
    <field x="0"/>
  </rowFields>
  <rowItems count="12">
    <i>
      <x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>
      <x v="2"/>
    </i>
    <i r="1">
      <x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ENERO" fld="2" baseField="0" baseItem="0"/>
    <dataField name="Suma de FEBRERO" fld="3" baseField="0" baseItem="0"/>
    <dataField name="Suma de MARZO" fld="4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D7" firstHeaderRow="0" firstDataRow="1" firstDataCol="1" rowPageCount="1" colPageCount="1"/>
  <pivotFields count="5">
    <pivotField axis="axisRow" showAll="0">
      <items count="7">
        <item x="4"/>
        <item x="3"/>
        <item x="2"/>
        <item x="1"/>
        <item x="5"/>
        <item x="0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dataField="1" numFmtId="164" showAll="0"/>
    <pivotField dataField="1" numFmtId="164" showAll="0"/>
    <pivotField dataField="1"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a de ENERO" fld="2" baseField="0" baseItem="0"/>
    <dataField name="Suma de FEBRERO" fld="3" baseField="0" baseItem="0"/>
    <dataField name="Suma de MARZO" fld="4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4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C32" firstHeaderRow="0" firstDataRow="1" firstDataCol="1"/>
  <pivotFields count="6">
    <pivotField axis="axisRow" showAll="0" sumSubtotal="1" avgSubtotal="1">
      <items count="9">
        <item x="0"/>
        <item x="1"/>
        <item x="2"/>
        <item x="3"/>
        <item x="4"/>
        <item x="5"/>
        <item x="6"/>
        <item t="sum"/>
        <item t="avg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numFmtId="164" showAll="0"/>
    <pivotField dataField="1" numFmtId="164" showAll="0"/>
  </pivotFields>
  <rowFields count="2">
    <field x="1"/>
    <field x="0"/>
  </rowFields>
  <rowItems count="29">
    <i>
      <x/>
    </i>
    <i r="1">
      <x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5"/>
    </i>
    <i r="1">
      <x v="6"/>
    </i>
    <i t="sum">
      <x v="1048832"/>
      <x/>
    </i>
    <i t="avg" r="1">
      <x/>
    </i>
    <i t="sum" r="1">
      <x v="1"/>
    </i>
    <i t="avg" r="1">
      <x v="1"/>
    </i>
    <i t="sum" r="1">
      <x v="2"/>
    </i>
    <i t="avg" r="1">
      <x v="2"/>
    </i>
    <i t="sum" r="1">
      <x v="3"/>
    </i>
    <i t="avg" r="1">
      <x v="3"/>
    </i>
    <i t="sum" r="1">
      <x v="4"/>
    </i>
    <i t="avg" r="1">
      <x v="4"/>
    </i>
    <i t="sum" r="1">
      <x v="5"/>
    </i>
    <i t="avg" r="1">
      <x v="5"/>
    </i>
    <i t="sum" r="1">
      <x v="6"/>
    </i>
    <i t="avg"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HORAS" fld="3" baseField="0" baseItem="0"/>
    <dataField name="Suma de TOTAL" fld="5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5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C39" firstHeaderRow="0" firstDataRow="1" firstDataCol="1"/>
  <pivotFields count="6">
    <pivotField axis="axisRow" showAll="0" maxSubtotal="1" minSubtotal="1">
      <items count="9">
        <item x="0"/>
        <item x="1"/>
        <item x="2"/>
        <item x="3"/>
        <item x="4"/>
        <item x="5"/>
        <item x="6"/>
        <item t="max"/>
        <item t="min"/>
      </items>
    </pivotField>
    <pivotField name="Nº COCHEç" axis="axisRow" showAll="0" avgSubtotal="1">
      <items count="3">
        <item x="0"/>
        <item x="1"/>
        <item t="avg"/>
      </items>
    </pivotField>
    <pivotField showAll="0"/>
    <pivotField dataField="1" showAll="0"/>
    <pivotField numFmtId="164" showAll="0"/>
    <pivotField dataField="1" numFmtId="164" showAll="0"/>
  </pivotFields>
  <rowFields count="2">
    <field x="0"/>
    <field x="1"/>
  </rowFields>
  <rowItems count="36">
    <i>
      <x/>
    </i>
    <i r="1">
      <x/>
    </i>
    <i r="1">
      <x v="1"/>
    </i>
    <i t="max">
      <x/>
    </i>
    <i t="min">
      <x/>
    </i>
    <i>
      <x v="1"/>
    </i>
    <i r="1">
      <x v="1"/>
    </i>
    <i t="max">
      <x v="1"/>
    </i>
    <i t="min">
      <x v="1"/>
    </i>
    <i>
      <x v="2"/>
    </i>
    <i r="1">
      <x/>
    </i>
    <i r="1">
      <x v="1"/>
    </i>
    <i t="max">
      <x v="2"/>
    </i>
    <i t="min">
      <x v="2"/>
    </i>
    <i>
      <x v="3"/>
    </i>
    <i r="1">
      <x/>
    </i>
    <i r="1">
      <x v="1"/>
    </i>
    <i t="max">
      <x v="3"/>
    </i>
    <i t="min">
      <x v="3"/>
    </i>
    <i>
      <x v="4"/>
    </i>
    <i r="1">
      <x/>
    </i>
    <i t="max">
      <x v="4"/>
    </i>
    <i t="min">
      <x v="4"/>
    </i>
    <i>
      <x v="5"/>
    </i>
    <i r="1">
      <x/>
    </i>
    <i r="1">
      <x v="1"/>
    </i>
    <i t="max">
      <x v="5"/>
    </i>
    <i t="min">
      <x v="5"/>
    </i>
    <i>
      <x v="6"/>
    </i>
    <i r="1">
      <x/>
    </i>
    <i r="1">
      <x v="1"/>
    </i>
    <i t="max">
      <x v="6"/>
    </i>
    <i t="min">
      <x v="6"/>
    </i>
    <i t="avg">
      <x v="1048832"/>
      <x/>
    </i>
    <i t="avg"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HORAS" fld="3" baseField="0" baseItem="0"/>
    <dataField name="Suma de TOTAL" fld="5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workbookViewId="0">
      <selection activeCell="A12" sqref="A12"/>
    </sheetView>
  </sheetViews>
  <sheetFormatPr baseColWidth="10" defaultRowHeight="15" x14ac:dyDescent="0.25"/>
  <cols>
    <col min="1" max="1" width="19.42578125" bestFit="1" customWidth="1"/>
    <col min="2" max="2" width="17.5703125" customWidth="1"/>
    <col min="3" max="3" width="16.28515625" customWidth="1"/>
    <col min="4" max="7" width="4" customWidth="1"/>
    <col min="8" max="8" width="12.5703125" bestFit="1" customWidth="1"/>
  </cols>
  <sheetData>
    <row r="3" spans="1:3" x14ac:dyDescent="0.25">
      <c r="A3" s="16" t="s">
        <v>40</v>
      </c>
      <c r="B3" t="s">
        <v>42</v>
      </c>
      <c r="C3" t="s">
        <v>43</v>
      </c>
    </row>
    <row r="4" spans="1:3" x14ac:dyDescent="0.25">
      <c r="A4" s="17" t="s">
        <v>4</v>
      </c>
      <c r="B4" s="18">
        <v>1143</v>
      </c>
      <c r="C4" s="18">
        <v>297000</v>
      </c>
    </row>
    <row r="5" spans="1:3" x14ac:dyDescent="0.25">
      <c r="A5" s="19" t="s">
        <v>5</v>
      </c>
      <c r="B5" s="18">
        <v>345</v>
      </c>
      <c r="C5" s="18">
        <v>69000</v>
      </c>
    </row>
    <row r="6" spans="1:3" x14ac:dyDescent="0.25">
      <c r="A6" s="19" t="s">
        <v>6</v>
      </c>
      <c r="B6" s="18">
        <v>456</v>
      </c>
      <c r="C6" s="18">
        <v>36480</v>
      </c>
    </row>
    <row r="7" spans="1:3" x14ac:dyDescent="0.25">
      <c r="A7" s="19" t="s">
        <v>8</v>
      </c>
      <c r="B7" s="18">
        <v>342</v>
      </c>
      <c r="C7" s="18">
        <v>191520</v>
      </c>
    </row>
    <row r="8" spans="1:3" x14ac:dyDescent="0.25">
      <c r="A8" s="17" t="s">
        <v>10</v>
      </c>
      <c r="B8" s="18">
        <v>736</v>
      </c>
      <c r="C8" s="18">
        <v>224120</v>
      </c>
    </row>
    <row r="9" spans="1:3" x14ac:dyDescent="0.25">
      <c r="A9" s="19" t="s">
        <v>5</v>
      </c>
      <c r="B9" s="18">
        <v>357</v>
      </c>
      <c r="C9" s="18">
        <v>71400</v>
      </c>
    </row>
    <row r="10" spans="1:3" x14ac:dyDescent="0.25">
      <c r="A10" s="19" t="s">
        <v>6</v>
      </c>
      <c r="B10" s="18">
        <v>124</v>
      </c>
      <c r="C10" s="18">
        <v>9920</v>
      </c>
    </row>
    <row r="11" spans="1:3" x14ac:dyDescent="0.25">
      <c r="A11" s="19" t="s">
        <v>8</v>
      </c>
      <c r="B11" s="18">
        <v>255</v>
      </c>
      <c r="C11" s="18">
        <v>142800</v>
      </c>
    </row>
    <row r="12" spans="1:3" x14ac:dyDescent="0.25">
      <c r="A12" s="19" t="s">
        <v>47</v>
      </c>
      <c r="B12" s="18">
        <v>351</v>
      </c>
      <c r="C12" s="18">
        <v>70200</v>
      </c>
    </row>
    <row r="13" spans="1:3" x14ac:dyDescent="0.25">
      <c r="A13" s="19" t="s">
        <v>48</v>
      </c>
      <c r="B13" s="18">
        <v>290</v>
      </c>
      <c r="C13" s="18">
        <v>23200</v>
      </c>
    </row>
    <row r="14" spans="1:3" x14ac:dyDescent="0.25">
      <c r="A14" s="19" t="s">
        <v>49</v>
      </c>
      <c r="B14" s="18">
        <v>298.5</v>
      </c>
      <c r="C14" s="18">
        <v>167160</v>
      </c>
    </row>
    <row r="15" spans="1:3" x14ac:dyDescent="0.25">
      <c r="A15" s="17" t="s">
        <v>41</v>
      </c>
      <c r="B15" s="18">
        <v>1879</v>
      </c>
      <c r="C15" s="18">
        <v>521120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17.5703125" bestFit="1" customWidth="1"/>
    <col min="2" max="2" width="8" bestFit="1" customWidth="1"/>
    <col min="3" max="3" width="9.42578125" bestFit="1" customWidth="1"/>
    <col min="4" max="4" width="11.5703125" bestFit="1" customWidth="1"/>
    <col min="7" max="7" width="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5.75" thickBot="1" x14ac:dyDescent="0.3">
      <c r="A2" s="2" t="s">
        <v>4</v>
      </c>
      <c r="B2" s="2" t="s">
        <v>5</v>
      </c>
      <c r="C2" s="2">
        <v>345</v>
      </c>
      <c r="D2" s="3">
        <f>IF(B2 = "Mesas",C2*$G$3,IF(B2= "Sillas",C2*$G$4,IF(B2=  "Sillones",C2*$G$5)))</f>
        <v>69000</v>
      </c>
    </row>
    <row r="3" spans="1:7" ht="15.75" thickTop="1" x14ac:dyDescent="0.25">
      <c r="A3" s="2" t="s">
        <v>4</v>
      </c>
      <c r="B3" s="2" t="s">
        <v>6</v>
      </c>
      <c r="C3" s="2">
        <v>456</v>
      </c>
      <c r="D3" s="3">
        <f t="shared" ref="D3:D7" si="0">IF(B3 = "Mesas",C3*$G$3,IF(B3= "Sillas",C3*$G$4,IF(B3=  "Sillones",C3*$G$5)))</f>
        <v>36480</v>
      </c>
      <c r="F3" s="4" t="s">
        <v>7</v>
      </c>
      <c r="G3" s="5">
        <v>200</v>
      </c>
    </row>
    <row r="4" spans="1:7" x14ac:dyDescent="0.25">
      <c r="A4" s="2" t="s">
        <v>4</v>
      </c>
      <c r="B4" s="2" t="s">
        <v>8</v>
      </c>
      <c r="C4" s="2">
        <v>342</v>
      </c>
      <c r="D4" s="3">
        <f t="shared" si="0"/>
        <v>191520</v>
      </c>
      <c r="F4" s="6" t="s">
        <v>9</v>
      </c>
      <c r="G4" s="7">
        <v>80</v>
      </c>
    </row>
    <row r="5" spans="1:7" ht="15.75" thickBot="1" x14ac:dyDescent="0.3">
      <c r="A5" s="2" t="s">
        <v>10</v>
      </c>
      <c r="B5" s="2" t="s">
        <v>5</v>
      </c>
      <c r="C5" s="2">
        <v>357</v>
      </c>
      <c r="D5" s="3">
        <f t="shared" si="0"/>
        <v>71400</v>
      </c>
      <c r="F5" s="8" t="s">
        <v>11</v>
      </c>
      <c r="G5" s="9">
        <v>560</v>
      </c>
    </row>
    <row r="6" spans="1:7" ht="15.75" thickTop="1" x14ac:dyDescent="0.25">
      <c r="A6" s="2" t="s">
        <v>10</v>
      </c>
      <c r="B6" s="2" t="s">
        <v>6</v>
      </c>
      <c r="C6" s="2">
        <v>124</v>
      </c>
      <c r="D6" s="3">
        <f t="shared" si="0"/>
        <v>9920</v>
      </c>
    </row>
    <row r="7" spans="1:7" x14ac:dyDescent="0.25">
      <c r="A7" s="2" t="s">
        <v>10</v>
      </c>
      <c r="B7" s="2" t="s">
        <v>8</v>
      </c>
      <c r="C7" s="2">
        <v>255</v>
      </c>
      <c r="D7" s="3">
        <f t="shared" si="0"/>
        <v>142800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workbookViewId="0">
      <selection activeCell="A3" sqref="A3:D15"/>
    </sheetView>
  </sheetViews>
  <sheetFormatPr baseColWidth="10" defaultRowHeight="15" x14ac:dyDescent="0.25"/>
  <cols>
    <col min="1" max="1" width="19.28515625" bestFit="1" customWidth="1"/>
    <col min="2" max="2" width="15" bestFit="1" customWidth="1"/>
    <col min="3" max="3" width="17" bestFit="1" customWidth="1"/>
    <col min="4" max="4" width="15.7109375" bestFit="1" customWidth="1"/>
  </cols>
  <sheetData>
    <row r="3" spans="1:4" x14ac:dyDescent="0.25">
      <c r="A3" s="16" t="s">
        <v>40</v>
      </c>
      <c r="B3" t="s">
        <v>44</v>
      </c>
      <c r="C3" t="s">
        <v>45</v>
      </c>
      <c r="D3" t="s">
        <v>46</v>
      </c>
    </row>
    <row r="4" spans="1:4" x14ac:dyDescent="0.25">
      <c r="A4" s="17" t="s">
        <v>18</v>
      </c>
      <c r="B4" s="18">
        <v>46947</v>
      </c>
      <c r="C4" s="18">
        <v>58149</v>
      </c>
      <c r="D4" s="18">
        <v>51179</v>
      </c>
    </row>
    <row r="5" spans="1:4" x14ac:dyDescent="0.25">
      <c r="A5" s="19" t="s">
        <v>19</v>
      </c>
      <c r="B5" s="18">
        <v>17432</v>
      </c>
      <c r="C5" s="18">
        <v>19100</v>
      </c>
      <c r="D5" s="18">
        <v>18789</v>
      </c>
    </row>
    <row r="6" spans="1:4" x14ac:dyDescent="0.25">
      <c r="A6" s="19" t="s">
        <v>25</v>
      </c>
      <c r="B6" s="18">
        <v>10995</v>
      </c>
      <c r="C6" s="18">
        <v>21155</v>
      </c>
      <c r="D6" s="18">
        <v>12500</v>
      </c>
    </row>
    <row r="7" spans="1:4" x14ac:dyDescent="0.25">
      <c r="A7" s="19" t="s">
        <v>17</v>
      </c>
      <c r="B7" s="18">
        <v>18520</v>
      </c>
      <c r="C7" s="18">
        <v>17894</v>
      </c>
      <c r="D7" s="18">
        <v>19890</v>
      </c>
    </row>
    <row r="8" spans="1:4" x14ac:dyDescent="0.25">
      <c r="A8" s="17" t="s">
        <v>21</v>
      </c>
      <c r="B8" s="18">
        <v>54859</v>
      </c>
      <c r="C8" s="18">
        <v>48322</v>
      </c>
      <c r="D8" s="18">
        <v>55655</v>
      </c>
    </row>
    <row r="9" spans="1:4" x14ac:dyDescent="0.25">
      <c r="A9" s="19" t="s">
        <v>23</v>
      </c>
      <c r="B9" s="18">
        <v>15836</v>
      </c>
      <c r="C9" s="18">
        <v>12123</v>
      </c>
      <c r="D9" s="18">
        <v>18555</v>
      </c>
    </row>
    <row r="10" spans="1:4" x14ac:dyDescent="0.25">
      <c r="A10" s="19" t="s">
        <v>22</v>
      </c>
      <c r="B10" s="18">
        <v>19789</v>
      </c>
      <c r="C10" s="18">
        <v>17456</v>
      </c>
      <c r="D10" s="18">
        <v>18425</v>
      </c>
    </row>
    <row r="11" spans="1:4" x14ac:dyDescent="0.25">
      <c r="A11" s="19" t="s">
        <v>20</v>
      </c>
      <c r="B11" s="18">
        <v>19234</v>
      </c>
      <c r="C11" s="18">
        <v>18743</v>
      </c>
      <c r="D11" s="18">
        <v>18675</v>
      </c>
    </row>
    <row r="12" spans="1:4" x14ac:dyDescent="0.25">
      <c r="A12" s="17" t="s">
        <v>24</v>
      </c>
      <c r="B12" s="18">
        <v>45803</v>
      </c>
      <c r="C12" s="18">
        <v>46622</v>
      </c>
      <c r="D12" s="18">
        <v>48356</v>
      </c>
    </row>
    <row r="13" spans="1:4" x14ac:dyDescent="0.25">
      <c r="A13" s="19" t="s">
        <v>23</v>
      </c>
      <c r="B13" s="18">
        <v>22678</v>
      </c>
      <c r="C13" s="18">
        <v>23890</v>
      </c>
      <c r="D13" s="18">
        <v>24567</v>
      </c>
    </row>
    <row r="14" spans="1:4" x14ac:dyDescent="0.25">
      <c r="A14" s="19" t="s">
        <v>25</v>
      </c>
      <c r="B14" s="18">
        <v>23125</v>
      </c>
      <c r="C14" s="18">
        <v>22732</v>
      </c>
      <c r="D14" s="18">
        <v>23789</v>
      </c>
    </row>
    <row r="15" spans="1:4" x14ac:dyDescent="0.25">
      <c r="A15" s="17" t="s">
        <v>41</v>
      </c>
      <c r="B15" s="18">
        <v>147609</v>
      </c>
      <c r="C15" s="18">
        <v>153093</v>
      </c>
      <c r="D15" s="18">
        <v>155190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H20" sqref="H20"/>
    </sheetView>
  </sheetViews>
  <sheetFormatPr baseColWidth="10" defaultRowHeight="15" x14ac:dyDescent="0.25"/>
  <cols>
    <col min="1" max="1" width="17.5703125" bestFit="1" customWidth="1"/>
    <col min="2" max="2" width="15" bestFit="1" customWidth="1"/>
    <col min="3" max="3" width="17" bestFit="1" customWidth="1"/>
    <col min="4" max="4" width="15.7109375" bestFit="1" customWidth="1"/>
  </cols>
  <sheetData>
    <row r="1" spans="1:4" x14ac:dyDescent="0.25">
      <c r="A1" s="16" t="s">
        <v>13</v>
      </c>
      <c r="B1" t="s">
        <v>21</v>
      </c>
    </row>
    <row r="3" spans="1:4" x14ac:dyDescent="0.25">
      <c r="A3" s="16" t="s">
        <v>40</v>
      </c>
      <c r="B3" t="s">
        <v>44</v>
      </c>
      <c r="C3" t="s">
        <v>45</v>
      </c>
      <c r="D3" t="s">
        <v>46</v>
      </c>
    </row>
    <row r="4" spans="1:4" x14ac:dyDescent="0.25">
      <c r="A4" s="17" t="s">
        <v>23</v>
      </c>
      <c r="B4" s="18">
        <v>15836</v>
      </c>
      <c r="C4" s="18">
        <v>12123</v>
      </c>
      <c r="D4" s="18">
        <v>18555</v>
      </c>
    </row>
    <row r="5" spans="1:4" x14ac:dyDescent="0.25">
      <c r="A5" s="17" t="s">
        <v>22</v>
      </c>
      <c r="B5" s="18">
        <v>19789</v>
      </c>
      <c r="C5" s="18">
        <v>17456</v>
      </c>
      <c r="D5" s="18">
        <v>18425</v>
      </c>
    </row>
    <row r="6" spans="1:4" x14ac:dyDescent="0.25">
      <c r="A6" s="17" t="s">
        <v>20</v>
      </c>
      <c r="B6" s="18">
        <v>19234</v>
      </c>
      <c r="C6" s="18">
        <v>18743</v>
      </c>
      <c r="D6" s="18">
        <v>18675</v>
      </c>
    </row>
    <row r="7" spans="1:4" x14ac:dyDescent="0.25">
      <c r="A7" s="17" t="s">
        <v>41</v>
      </c>
      <c r="B7" s="18">
        <v>54859</v>
      </c>
      <c r="C7" s="18">
        <v>48322</v>
      </c>
      <c r="D7" s="18">
        <v>55655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3" sqref="A3:E11"/>
    </sheetView>
  </sheetViews>
  <sheetFormatPr baseColWidth="10" defaultRowHeight="15" x14ac:dyDescent="0.25"/>
  <sheetData>
    <row r="1" spans="1:5" ht="64.5" customHeight="1" x14ac:dyDescent="0.25">
      <c r="A1" s="20" t="s">
        <v>26</v>
      </c>
      <c r="B1" s="20"/>
      <c r="C1" s="20"/>
      <c r="D1" s="20"/>
      <c r="E1" s="20"/>
    </row>
    <row r="2" spans="1:5" ht="15.75" thickBot="1" x14ac:dyDescent="0.3"/>
    <row r="3" spans="1:5" ht="15.75" thickBot="1" x14ac:dyDescent="0.3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</row>
    <row r="4" spans="1:5" ht="15.75" thickBot="1" x14ac:dyDescent="0.3">
      <c r="A4" s="11" t="s">
        <v>17</v>
      </c>
      <c r="B4" s="11" t="s">
        <v>18</v>
      </c>
      <c r="C4" s="12">
        <v>18520</v>
      </c>
      <c r="D4" s="12">
        <v>17894</v>
      </c>
      <c r="E4" s="12">
        <v>19890</v>
      </c>
    </row>
    <row r="5" spans="1:5" ht="15.75" thickBot="1" x14ac:dyDescent="0.3">
      <c r="A5" s="11" t="s">
        <v>19</v>
      </c>
      <c r="B5" s="11" t="s">
        <v>18</v>
      </c>
      <c r="C5" s="12">
        <v>17432</v>
      </c>
      <c r="D5" s="12">
        <v>19100</v>
      </c>
      <c r="E5" s="12">
        <v>18789</v>
      </c>
    </row>
    <row r="6" spans="1:5" ht="15.75" thickBot="1" x14ac:dyDescent="0.3">
      <c r="A6" s="11" t="s">
        <v>20</v>
      </c>
      <c r="B6" s="11" t="s">
        <v>21</v>
      </c>
      <c r="C6" s="12">
        <v>19234</v>
      </c>
      <c r="D6" s="12">
        <v>18743</v>
      </c>
      <c r="E6" s="12">
        <v>18675</v>
      </c>
    </row>
    <row r="7" spans="1:5" ht="15.75" thickBot="1" x14ac:dyDescent="0.3">
      <c r="A7" s="11" t="s">
        <v>22</v>
      </c>
      <c r="B7" s="11" t="s">
        <v>21</v>
      </c>
      <c r="C7" s="12">
        <v>19789</v>
      </c>
      <c r="D7" s="12">
        <v>17456</v>
      </c>
      <c r="E7" s="12">
        <v>18425</v>
      </c>
    </row>
    <row r="8" spans="1:5" ht="15.75" thickBot="1" x14ac:dyDescent="0.3">
      <c r="A8" s="11" t="s">
        <v>23</v>
      </c>
      <c r="B8" s="11" t="s">
        <v>24</v>
      </c>
      <c r="C8" s="12">
        <v>22678</v>
      </c>
      <c r="D8" s="12">
        <v>23890</v>
      </c>
      <c r="E8" s="12">
        <v>24567</v>
      </c>
    </row>
    <row r="9" spans="1:5" ht="15.75" thickBot="1" x14ac:dyDescent="0.3">
      <c r="A9" s="11" t="s">
        <v>23</v>
      </c>
      <c r="B9" s="11" t="s">
        <v>21</v>
      </c>
      <c r="C9" s="12">
        <v>15836</v>
      </c>
      <c r="D9" s="12">
        <v>12123</v>
      </c>
      <c r="E9" s="12">
        <v>18555</v>
      </c>
    </row>
    <row r="10" spans="1:5" ht="15.75" thickBot="1" x14ac:dyDescent="0.3">
      <c r="A10" s="11" t="s">
        <v>25</v>
      </c>
      <c r="B10" s="11" t="s">
        <v>18</v>
      </c>
      <c r="C10" s="12">
        <v>10995</v>
      </c>
      <c r="D10" s="12">
        <v>21155</v>
      </c>
      <c r="E10" s="12">
        <v>12500</v>
      </c>
    </row>
    <row r="11" spans="1:5" ht="15.75" thickBot="1" x14ac:dyDescent="0.3">
      <c r="A11" s="11" t="s">
        <v>25</v>
      </c>
      <c r="B11" s="11" t="s">
        <v>24</v>
      </c>
      <c r="C11" s="12">
        <v>23125</v>
      </c>
      <c r="D11" s="12">
        <v>22732</v>
      </c>
      <c r="E11" s="12">
        <v>23789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2"/>
  <sheetViews>
    <sheetView tabSelected="1" topLeftCell="A13" workbookViewId="0">
      <selection activeCell="A10" sqref="A10"/>
    </sheetView>
  </sheetViews>
  <sheetFormatPr baseColWidth="10" defaultRowHeight="15" x14ac:dyDescent="0.25"/>
  <cols>
    <col min="1" max="1" width="22.140625" customWidth="1"/>
    <col min="2" max="2" width="15.140625" customWidth="1"/>
    <col min="3" max="3" width="14.5703125" customWidth="1"/>
    <col min="4" max="4" width="18" bestFit="1" customWidth="1"/>
    <col min="5" max="5" width="4" customWidth="1"/>
    <col min="6" max="6" width="20.140625" bestFit="1" customWidth="1"/>
    <col min="7" max="7" width="19.5703125" bestFit="1" customWidth="1"/>
  </cols>
  <sheetData>
    <row r="3" spans="1:3" x14ac:dyDescent="0.25">
      <c r="A3" s="16" t="s">
        <v>40</v>
      </c>
      <c r="B3" t="s">
        <v>50</v>
      </c>
      <c r="C3" t="s">
        <v>51</v>
      </c>
    </row>
    <row r="4" spans="1:3" x14ac:dyDescent="0.25">
      <c r="A4" s="17">
        <v>2</v>
      </c>
      <c r="B4" s="18">
        <v>17</v>
      </c>
      <c r="C4" s="18">
        <v>340</v>
      </c>
    </row>
    <row r="5" spans="1:3" x14ac:dyDescent="0.25">
      <c r="A5" s="19" t="s">
        <v>33</v>
      </c>
      <c r="B5" s="18">
        <v>5</v>
      </c>
      <c r="C5" s="18">
        <v>100</v>
      </c>
    </row>
    <row r="6" spans="1:3" x14ac:dyDescent="0.25">
      <c r="A6" s="19" t="s">
        <v>35</v>
      </c>
      <c r="B6" s="18">
        <v>2</v>
      </c>
      <c r="C6" s="18">
        <v>40</v>
      </c>
    </row>
    <row r="7" spans="1:3" x14ac:dyDescent="0.25">
      <c r="A7" s="19" t="s">
        <v>36</v>
      </c>
      <c r="B7" s="18">
        <v>1</v>
      </c>
      <c r="C7" s="18">
        <v>20</v>
      </c>
    </row>
    <row r="8" spans="1:3" x14ac:dyDescent="0.25">
      <c r="A8" s="19" t="s">
        <v>37</v>
      </c>
      <c r="B8" s="18">
        <v>4</v>
      </c>
      <c r="C8" s="18">
        <v>80</v>
      </c>
    </row>
    <row r="9" spans="1:3" x14ac:dyDescent="0.25">
      <c r="A9" s="19" t="s">
        <v>38</v>
      </c>
      <c r="B9" s="18">
        <v>4</v>
      </c>
      <c r="C9" s="18">
        <v>80</v>
      </c>
    </row>
    <row r="10" spans="1:3" x14ac:dyDescent="0.25">
      <c r="A10" s="19" t="s">
        <v>39</v>
      </c>
      <c r="B10" s="18">
        <v>1</v>
      </c>
      <c r="C10" s="18">
        <v>20</v>
      </c>
    </row>
    <row r="11" spans="1:3" x14ac:dyDescent="0.25">
      <c r="A11" s="17">
        <v>5</v>
      </c>
      <c r="B11" s="18">
        <v>16</v>
      </c>
      <c r="C11" s="18">
        <v>320</v>
      </c>
    </row>
    <row r="12" spans="1:3" x14ac:dyDescent="0.25">
      <c r="A12" s="19" t="s">
        <v>33</v>
      </c>
      <c r="B12" s="18">
        <v>2</v>
      </c>
      <c r="C12" s="18">
        <v>40</v>
      </c>
    </row>
    <row r="13" spans="1:3" x14ac:dyDescent="0.25">
      <c r="A13" s="19" t="s">
        <v>34</v>
      </c>
      <c r="B13" s="18">
        <v>3</v>
      </c>
      <c r="C13" s="18">
        <v>60</v>
      </c>
    </row>
    <row r="14" spans="1:3" x14ac:dyDescent="0.25">
      <c r="A14" s="19" t="s">
        <v>35</v>
      </c>
      <c r="B14" s="18">
        <v>2</v>
      </c>
      <c r="C14" s="18">
        <v>40</v>
      </c>
    </row>
    <row r="15" spans="1:3" x14ac:dyDescent="0.25">
      <c r="A15" s="19" t="s">
        <v>36</v>
      </c>
      <c r="B15" s="18">
        <v>3</v>
      </c>
      <c r="C15" s="18">
        <v>60</v>
      </c>
    </row>
    <row r="16" spans="1:3" x14ac:dyDescent="0.25">
      <c r="A16" s="19" t="s">
        <v>38</v>
      </c>
      <c r="B16" s="18">
        <v>2</v>
      </c>
      <c r="C16" s="18">
        <v>40</v>
      </c>
    </row>
    <row r="17" spans="1:3" x14ac:dyDescent="0.25">
      <c r="A17" s="19" t="s">
        <v>39</v>
      </c>
      <c r="B17" s="18">
        <v>4</v>
      </c>
      <c r="C17" s="18">
        <v>80</v>
      </c>
    </row>
    <row r="18" spans="1:3" x14ac:dyDescent="0.25">
      <c r="A18" s="19" t="s">
        <v>52</v>
      </c>
      <c r="B18" s="18">
        <v>7</v>
      </c>
      <c r="C18" s="18">
        <v>140</v>
      </c>
    </row>
    <row r="19" spans="1:3" x14ac:dyDescent="0.25">
      <c r="A19" s="19" t="s">
        <v>53</v>
      </c>
      <c r="B19" s="18">
        <v>3.5</v>
      </c>
      <c r="C19" s="18">
        <v>70</v>
      </c>
    </row>
    <row r="20" spans="1:3" x14ac:dyDescent="0.25">
      <c r="A20" s="19" t="s">
        <v>64</v>
      </c>
      <c r="B20" s="18">
        <v>3</v>
      </c>
      <c r="C20" s="18">
        <v>60</v>
      </c>
    </row>
    <row r="21" spans="1:3" x14ac:dyDescent="0.25">
      <c r="A21" s="19" t="s">
        <v>65</v>
      </c>
      <c r="B21" s="18">
        <v>3</v>
      </c>
      <c r="C21" s="18">
        <v>60</v>
      </c>
    </row>
    <row r="22" spans="1:3" x14ac:dyDescent="0.25">
      <c r="A22" s="19" t="s">
        <v>54</v>
      </c>
      <c r="B22" s="18">
        <v>4</v>
      </c>
      <c r="C22" s="18">
        <v>80</v>
      </c>
    </row>
    <row r="23" spans="1:3" x14ac:dyDescent="0.25">
      <c r="A23" s="19" t="s">
        <v>55</v>
      </c>
      <c r="B23" s="18">
        <v>2</v>
      </c>
      <c r="C23" s="18">
        <v>40</v>
      </c>
    </row>
    <row r="24" spans="1:3" x14ac:dyDescent="0.25">
      <c r="A24" s="19" t="s">
        <v>56</v>
      </c>
      <c r="B24" s="18">
        <v>4</v>
      </c>
      <c r="C24" s="18">
        <v>80</v>
      </c>
    </row>
    <row r="25" spans="1:3" x14ac:dyDescent="0.25">
      <c r="A25" s="19" t="s">
        <v>57</v>
      </c>
      <c r="B25" s="18">
        <v>2</v>
      </c>
      <c r="C25" s="18">
        <v>40</v>
      </c>
    </row>
    <row r="26" spans="1:3" x14ac:dyDescent="0.25">
      <c r="A26" s="19" t="s">
        <v>58</v>
      </c>
      <c r="B26" s="18">
        <v>4</v>
      </c>
      <c r="C26" s="18">
        <v>80</v>
      </c>
    </row>
    <row r="27" spans="1:3" x14ac:dyDescent="0.25">
      <c r="A27" s="19" t="s">
        <v>59</v>
      </c>
      <c r="B27" s="18">
        <v>4</v>
      </c>
      <c r="C27" s="18">
        <v>80</v>
      </c>
    </row>
    <row r="28" spans="1:3" x14ac:dyDescent="0.25">
      <c r="A28" s="19" t="s">
        <v>60</v>
      </c>
      <c r="B28" s="18">
        <v>6</v>
      </c>
      <c r="C28" s="18">
        <v>120</v>
      </c>
    </row>
    <row r="29" spans="1:3" x14ac:dyDescent="0.25">
      <c r="A29" s="19" t="s">
        <v>61</v>
      </c>
      <c r="B29" s="18">
        <v>3</v>
      </c>
      <c r="C29" s="18">
        <v>60</v>
      </c>
    </row>
    <row r="30" spans="1:3" x14ac:dyDescent="0.25">
      <c r="A30" s="19" t="s">
        <v>62</v>
      </c>
      <c r="B30" s="18">
        <v>5</v>
      </c>
      <c r="C30" s="18">
        <v>100</v>
      </c>
    </row>
    <row r="31" spans="1:3" x14ac:dyDescent="0.25">
      <c r="A31" s="19" t="s">
        <v>63</v>
      </c>
      <c r="B31" s="18">
        <v>2.5</v>
      </c>
      <c r="C31" s="18">
        <v>50</v>
      </c>
    </row>
    <row r="32" spans="1:3" x14ac:dyDescent="0.25">
      <c r="A32" s="17" t="s">
        <v>41</v>
      </c>
      <c r="B32" s="18">
        <v>33</v>
      </c>
      <c r="C32" s="18">
        <v>660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9"/>
  <sheetViews>
    <sheetView topLeftCell="A10" workbookViewId="0">
      <selection activeCell="A23" sqref="A23"/>
    </sheetView>
  </sheetViews>
  <sheetFormatPr baseColWidth="10" defaultRowHeight="15" x14ac:dyDescent="0.25"/>
  <cols>
    <col min="1" max="1" width="17.5703125" bestFit="1" customWidth="1"/>
    <col min="2" max="2" width="15.140625" customWidth="1"/>
    <col min="3" max="3" width="14.5703125" customWidth="1"/>
  </cols>
  <sheetData>
    <row r="3" spans="1:3" x14ac:dyDescent="0.25">
      <c r="A3" s="16" t="s">
        <v>40</v>
      </c>
      <c r="B3" t="s">
        <v>50</v>
      </c>
      <c r="C3" t="s">
        <v>51</v>
      </c>
    </row>
    <row r="4" spans="1:3" x14ac:dyDescent="0.25">
      <c r="A4" s="17" t="s">
        <v>33</v>
      </c>
      <c r="B4" s="18"/>
      <c r="C4" s="18"/>
    </row>
    <row r="5" spans="1:3" x14ac:dyDescent="0.25">
      <c r="A5" s="19">
        <v>2</v>
      </c>
      <c r="B5" s="18">
        <v>5</v>
      </c>
      <c r="C5" s="18">
        <v>100</v>
      </c>
    </row>
    <row r="6" spans="1:3" x14ac:dyDescent="0.25">
      <c r="A6" s="19">
        <v>5</v>
      </c>
      <c r="B6" s="18">
        <v>2</v>
      </c>
      <c r="C6" s="18">
        <v>40</v>
      </c>
    </row>
    <row r="7" spans="1:3" x14ac:dyDescent="0.25">
      <c r="A7" s="17" t="s">
        <v>66</v>
      </c>
      <c r="B7" s="18">
        <v>5</v>
      </c>
      <c r="C7" s="18">
        <v>100</v>
      </c>
    </row>
    <row r="8" spans="1:3" x14ac:dyDescent="0.25">
      <c r="A8" s="17" t="s">
        <v>73</v>
      </c>
      <c r="B8" s="18">
        <v>2</v>
      </c>
      <c r="C8" s="18">
        <v>40</v>
      </c>
    </row>
    <row r="9" spans="1:3" x14ac:dyDescent="0.25">
      <c r="A9" s="17" t="s">
        <v>34</v>
      </c>
      <c r="B9" s="18"/>
      <c r="C9" s="18"/>
    </row>
    <row r="10" spans="1:3" x14ac:dyDescent="0.25">
      <c r="A10" s="19">
        <v>5</v>
      </c>
      <c r="B10" s="18">
        <v>3</v>
      </c>
      <c r="C10" s="18">
        <v>60</v>
      </c>
    </row>
    <row r="11" spans="1:3" x14ac:dyDescent="0.25">
      <c r="A11" s="17" t="s">
        <v>67</v>
      </c>
      <c r="B11" s="18">
        <v>3</v>
      </c>
      <c r="C11" s="18">
        <v>60</v>
      </c>
    </row>
    <row r="12" spans="1:3" x14ac:dyDescent="0.25">
      <c r="A12" s="17" t="s">
        <v>74</v>
      </c>
      <c r="B12" s="18">
        <v>3</v>
      </c>
      <c r="C12" s="18">
        <v>60</v>
      </c>
    </row>
    <row r="13" spans="1:3" x14ac:dyDescent="0.25">
      <c r="A13" s="17" t="s">
        <v>35</v>
      </c>
      <c r="B13" s="18"/>
      <c r="C13" s="18"/>
    </row>
    <row r="14" spans="1:3" x14ac:dyDescent="0.25">
      <c r="A14" s="19">
        <v>2</v>
      </c>
      <c r="B14" s="18">
        <v>2</v>
      </c>
      <c r="C14" s="18">
        <v>40</v>
      </c>
    </row>
    <row r="15" spans="1:3" x14ac:dyDescent="0.25">
      <c r="A15" s="19">
        <v>5</v>
      </c>
      <c r="B15" s="18">
        <v>2</v>
      </c>
      <c r="C15" s="18">
        <v>40</v>
      </c>
    </row>
    <row r="16" spans="1:3" x14ac:dyDescent="0.25">
      <c r="A16" s="17" t="s">
        <v>68</v>
      </c>
      <c r="B16" s="18">
        <v>2</v>
      </c>
      <c r="C16" s="18">
        <v>40</v>
      </c>
    </row>
    <row r="17" spans="1:3" x14ac:dyDescent="0.25">
      <c r="A17" s="17" t="s">
        <v>75</v>
      </c>
      <c r="B17" s="18">
        <v>2</v>
      </c>
      <c r="C17" s="18">
        <v>40</v>
      </c>
    </row>
    <row r="18" spans="1:3" x14ac:dyDescent="0.25">
      <c r="A18" s="17" t="s">
        <v>36</v>
      </c>
      <c r="B18" s="18"/>
      <c r="C18" s="18"/>
    </row>
    <row r="19" spans="1:3" x14ac:dyDescent="0.25">
      <c r="A19" s="19">
        <v>2</v>
      </c>
      <c r="B19" s="18">
        <v>1</v>
      </c>
      <c r="C19" s="18">
        <v>20</v>
      </c>
    </row>
    <row r="20" spans="1:3" x14ac:dyDescent="0.25">
      <c r="A20" s="19">
        <v>5</v>
      </c>
      <c r="B20" s="18">
        <v>3</v>
      </c>
      <c r="C20" s="18">
        <v>60</v>
      </c>
    </row>
    <row r="21" spans="1:3" x14ac:dyDescent="0.25">
      <c r="A21" s="17" t="s">
        <v>69</v>
      </c>
      <c r="B21" s="18">
        <v>3</v>
      </c>
      <c r="C21" s="18">
        <v>60</v>
      </c>
    </row>
    <row r="22" spans="1:3" x14ac:dyDescent="0.25">
      <c r="A22" s="17" t="s">
        <v>76</v>
      </c>
      <c r="B22" s="18">
        <v>1</v>
      </c>
      <c r="C22" s="18">
        <v>20</v>
      </c>
    </row>
    <row r="23" spans="1:3" x14ac:dyDescent="0.25">
      <c r="A23" s="17" t="s">
        <v>37</v>
      </c>
      <c r="B23" s="18"/>
      <c r="C23" s="18"/>
    </row>
    <row r="24" spans="1:3" x14ac:dyDescent="0.25">
      <c r="A24" s="19">
        <v>2</v>
      </c>
      <c r="B24" s="18">
        <v>4</v>
      </c>
      <c r="C24" s="18">
        <v>80</v>
      </c>
    </row>
    <row r="25" spans="1:3" x14ac:dyDescent="0.25">
      <c r="A25" s="17" t="s">
        <v>70</v>
      </c>
      <c r="B25" s="18">
        <v>4</v>
      </c>
      <c r="C25" s="18">
        <v>80</v>
      </c>
    </row>
    <row r="26" spans="1:3" x14ac:dyDescent="0.25">
      <c r="A26" s="17" t="s">
        <v>77</v>
      </c>
      <c r="B26" s="18">
        <v>4</v>
      </c>
      <c r="C26" s="18">
        <v>80</v>
      </c>
    </row>
    <row r="27" spans="1:3" x14ac:dyDescent="0.25">
      <c r="A27" s="17" t="s">
        <v>38</v>
      </c>
      <c r="B27" s="18"/>
      <c r="C27" s="18"/>
    </row>
    <row r="28" spans="1:3" x14ac:dyDescent="0.25">
      <c r="A28" s="19">
        <v>2</v>
      </c>
      <c r="B28" s="18">
        <v>4</v>
      </c>
      <c r="C28" s="18">
        <v>80</v>
      </c>
    </row>
    <row r="29" spans="1:3" x14ac:dyDescent="0.25">
      <c r="A29" s="19">
        <v>5</v>
      </c>
      <c r="B29" s="18">
        <v>2</v>
      </c>
      <c r="C29" s="18">
        <v>40</v>
      </c>
    </row>
    <row r="30" spans="1:3" x14ac:dyDescent="0.25">
      <c r="A30" s="17" t="s">
        <v>71</v>
      </c>
      <c r="B30" s="18">
        <v>4</v>
      </c>
      <c r="C30" s="18">
        <v>80</v>
      </c>
    </row>
    <row r="31" spans="1:3" x14ac:dyDescent="0.25">
      <c r="A31" s="17" t="s">
        <v>78</v>
      </c>
      <c r="B31" s="18">
        <v>2</v>
      </c>
      <c r="C31" s="18">
        <v>40</v>
      </c>
    </row>
    <row r="32" spans="1:3" x14ac:dyDescent="0.25">
      <c r="A32" s="17" t="s">
        <v>39</v>
      </c>
      <c r="B32" s="18"/>
      <c r="C32" s="18"/>
    </row>
    <row r="33" spans="1:3" x14ac:dyDescent="0.25">
      <c r="A33" s="19">
        <v>2</v>
      </c>
      <c r="B33" s="18">
        <v>1</v>
      </c>
      <c r="C33" s="18">
        <v>20</v>
      </c>
    </row>
    <row r="34" spans="1:3" x14ac:dyDescent="0.25">
      <c r="A34" s="19">
        <v>5</v>
      </c>
      <c r="B34" s="18">
        <v>4</v>
      </c>
      <c r="C34" s="18">
        <v>80</v>
      </c>
    </row>
    <row r="35" spans="1:3" x14ac:dyDescent="0.25">
      <c r="A35" s="17" t="s">
        <v>72</v>
      </c>
      <c r="B35" s="18">
        <v>4</v>
      </c>
      <c r="C35" s="18">
        <v>80</v>
      </c>
    </row>
    <row r="36" spans="1:3" x14ac:dyDescent="0.25">
      <c r="A36" s="17" t="s">
        <v>79</v>
      </c>
      <c r="B36" s="18">
        <v>1</v>
      </c>
      <c r="C36" s="18">
        <v>20</v>
      </c>
    </row>
    <row r="37" spans="1:3" x14ac:dyDescent="0.25">
      <c r="A37" s="19" t="s">
        <v>80</v>
      </c>
      <c r="B37" s="18">
        <v>2.8333333333333335</v>
      </c>
      <c r="C37" s="18">
        <v>56.666666666666664</v>
      </c>
    </row>
    <row r="38" spans="1:3" x14ac:dyDescent="0.25">
      <c r="A38" s="19" t="s">
        <v>81</v>
      </c>
      <c r="B38" s="18">
        <v>2.6666666666666665</v>
      </c>
      <c r="C38" s="18">
        <v>53.333333333333336</v>
      </c>
    </row>
    <row r="39" spans="1:3" x14ac:dyDescent="0.25">
      <c r="A39" s="17" t="s">
        <v>41</v>
      </c>
      <c r="B39" s="18">
        <v>33</v>
      </c>
      <c r="C39" s="18">
        <v>660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3"/>
    </sheetView>
  </sheetViews>
  <sheetFormatPr baseColWidth="10" defaultRowHeight="15" x14ac:dyDescent="0.25"/>
  <cols>
    <col min="2" max="2" width="10.5703125" bestFit="1" customWidth="1"/>
    <col min="3" max="3" width="18.42578125" bestFit="1" customWidth="1"/>
    <col min="4" max="4" width="7.85546875" bestFit="1" customWidth="1"/>
    <col min="5" max="5" width="14.28515625" bestFit="1" customWidth="1"/>
    <col min="6" max="6" width="8" bestFit="1" customWidth="1"/>
  </cols>
  <sheetData>
    <row r="1" spans="1:6" ht="15.75" x14ac:dyDescent="0.25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</row>
    <row r="2" spans="1:6" x14ac:dyDescent="0.25">
      <c r="A2" s="14" t="s">
        <v>33</v>
      </c>
      <c r="B2" s="1">
        <v>2</v>
      </c>
      <c r="C2" s="1">
        <v>10502</v>
      </c>
      <c r="D2" s="1">
        <v>5</v>
      </c>
      <c r="E2" s="15">
        <v>20</v>
      </c>
      <c r="F2" s="15">
        <f>E2*D2</f>
        <v>100</v>
      </c>
    </row>
    <row r="3" spans="1:6" x14ac:dyDescent="0.25">
      <c r="A3" s="14" t="s">
        <v>34</v>
      </c>
      <c r="B3" s="1">
        <v>5</v>
      </c>
      <c r="C3" s="1">
        <v>10506</v>
      </c>
      <c r="D3" s="1">
        <v>3</v>
      </c>
      <c r="E3" s="15">
        <v>20</v>
      </c>
      <c r="F3" s="15">
        <f t="shared" ref="F3:F13" si="0">E3*D3</f>
        <v>60</v>
      </c>
    </row>
    <row r="4" spans="1:6" x14ac:dyDescent="0.25">
      <c r="A4" s="14" t="s">
        <v>35</v>
      </c>
      <c r="B4" s="1">
        <v>5</v>
      </c>
      <c r="C4" s="1">
        <v>10415</v>
      </c>
      <c r="D4" s="1">
        <v>2</v>
      </c>
      <c r="E4" s="15">
        <v>20</v>
      </c>
      <c r="F4" s="15">
        <f t="shared" si="0"/>
        <v>40</v>
      </c>
    </row>
    <row r="5" spans="1:6" x14ac:dyDescent="0.25">
      <c r="A5" s="14" t="s">
        <v>36</v>
      </c>
      <c r="B5" s="1">
        <v>2</v>
      </c>
      <c r="C5" s="1">
        <v>10256</v>
      </c>
      <c r="D5" s="1">
        <v>1</v>
      </c>
      <c r="E5" s="15">
        <v>20</v>
      </c>
      <c r="F5" s="15">
        <f t="shared" si="0"/>
        <v>20</v>
      </c>
    </row>
    <row r="6" spans="1:6" x14ac:dyDescent="0.25">
      <c r="A6" s="14" t="s">
        <v>37</v>
      </c>
      <c r="B6" s="1">
        <v>2</v>
      </c>
      <c r="C6" s="1">
        <v>10100</v>
      </c>
      <c r="D6" s="1">
        <v>4</v>
      </c>
      <c r="E6" s="15">
        <v>20</v>
      </c>
      <c r="F6" s="15">
        <f t="shared" si="0"/>
        <v>80</v>
      </c>
    </row>
    <row r="7" spans="1:6" x14ac:dyDescent="0.25">
      <c r="A7" s="14" t="s">
        <v>33</v>
      </c>
      <c r="B7" s="1">
        <v>5</v>
      </c>
      <c r="C7" s="1">
        <v>10502</v>
      </c>
      <c r="D7" s="1">
        <v>2</v>
      </c>
      <c r="E7" s="15">
        <v>20</v>
      </c>
      <c r="F7" s="15">
        <f t="shared" si="0"/>
        <v>40</v>
      </c>
    </row>
    <row r="8" spans="1:6" x14ac:dyDescent="0.25">
      <c r="A8" s="14" t="s">
        <v>35</v>
      </c>
      <c r="B8" s="1">
        <v>2</v>
      </c>
      <c r="C8" s="1">
        <v>10125</v>
      </c>
      <c r="D8" s="1">
        <v>2</v>
      </c>
      <c r="E8" s="15">
        <v>20</v>
      </c>
      <c r="F8" s="15">
        <f t="shared" si="0"/>
        <v>40</v>
      </c>
    </row>
    <row r="9" spans="1:6" x14ac:dyDescent="0.25">
      <c r="A9" s="14" t="s">
        <v>36</v>
      </c>
      <c r="B9" s="1">
        <v>5</v>
      </c>
      <c r="C9" s="1">
        <v>10500</v>
      </c>
      <c r="D9" s="1">
        <v>3</v>
      </c>
      <c r="E9" s="15">
        <v>20</v>
      </c>
      <c r="F9" s="15">
        <f t="shared" si="0"/>
        <v>60</v>
      </c>
    </row>
    <row r="10" spans="1:6" x14ac:dyDescent="0.25">
      <c r="A10" s="14" t="s">
        <v>38</v>
      </c>
      <c r="B10" s="1">
        <v>2</v>
      </c>
      <c r="C10" s="1">
        <v>10125</v>
      </c>
      <c r="D10" s="1">
        <v>4</v>
      </c>
      <c r="E10" s="15">
        <v>20</v>
      </c>
      <c r="F10" s="15">
        <f t="shared" si="0"/>
        <v>80</v>
      </c>
    </row>
    <row r="11" spans="1:6" x14ac:dyDescent="0.25">
      <c r="A11" s="14" t="s">
        <v>38</v>
      </c>
      <c r="B11" s="1">
        <v>5</v>
      </c>
      <c r="C11" s="1">
        <v>10410</v>
      </c>
      <c r="D11" s="1">
        <v>2</v>
      </c>
      <c r="E11" s="15">
        <v>20</v>
      </c>
      <c r="F11" s="15">
        <f t="shared" si="0"/>
        <v>40</v>
      </c>
    </row>
    <row r="12" spans="1:6" x14ac:dyDescent="0.25">
      <c r="A12" s="14" t="s">
        <v>39</v>
      </c>
      <c r="B12" s="1">
        <v>5</v>
      </c>
      <c r="C12" s="1">
        <v>10325</v>
      </c>
      <c r="D12" s="1">
        <v>4</v>
      </c>
      <c r="E12" s="15">
        <v>20</v>
      </c>
      <c r="F12" s="15">
        <f t="shared" si="0"/>
        <v>80</v>
      </c>
    </row>
    <row r="13" spans="1:6" x14ac:dyDescent="0.25">
      <c r="A13" s="14" t="s">
        <v>39</v>
      </c>
      <c r="B13" s="1">
        <v>2</v>
      </c>
      <c r="C13" s="1">
        <v>10265</v>
      </c>
      <c r="D13" s="1">
        <v>1</v>
      </c>
      <c r="E13" s="15">
        <v>20</v>
      </c>
      <c r="F13" s="15">
        <f t="shared" si="0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Tabla Ejercicio 1</vt:lpstr>
      <vt:lpstr>Datos ejercicio 1</vt:lpstr>
      <vt:lpstr>Tabla ejercicio 2</vt:lpstr>
      <vt:lpstr>Tabla 2 VEND_TERUEL</vt:lpstr>
      <vt:lpstr>Datos ejercicio 2</vt:lpstr>
      <vt:lpstr>Tabla 3-A</vt:lpstr>
      <vt:lpstr>Tabla 3-B</vt:lpstr>
      <vt:lpstr>Datos 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2022-02-11T11:44:57Z</dcterms:modified>
</cp:coreProperties>
</file>