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E:\Aplicaciones ofimaticas\Excel\Repaso 2\"/>
    </mc:Choice>
  </mc:AlternateContent>
  <bookViews>
    <workbookView xWindow="0" yWindow="0" windowWidth="11520" windowHeight="7515" activeTab="3"/>
  </bookViews>
  <sheets>
    <sheet name="Presentacion" sheetId="1" r:id="rId1"/>
    <sheet name="Hoteles" sheetId="2" r:id="rId2"/>
    <sheet name="Busquedas" sheetId="3" r:id="rId3"/>
    <sheet name="Presupuesto" sheetId="4" r:id="rId4"/>
  </sheets>
  <definedNames>
    <definedName name="_xlnm._FilterDatabase" localSheetId="1" hidden="1">Hoteles!$B$4:$B$8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10" i="3" l="1"/>
  <c r="H10" i="4"/>
  <c r="C19" i="4" l="1"/>
  <c r="G10" i="4"/>
  <c r="F10" i="4"/>
  <c r="E10" i="4"/>
  <c r="C18" i="4" s="1"/>
  <c r="D10" i="4"/>
  <c r="C10" i="4"/>
  <c r="B10" i="4"/>
  <c r="A10" i="4"/>
  <c r="D10" i="3"/>
  <c r="H10" i="3"/>
  <c r="G10" i="3"/>
  <c r="F10" i="3"/>
  <c r="E10" i="3"/>
  <c r="C10" i="3"/>
  <c r="A10" i="3"/>
  <c r="G13" i="2"/>
  <c r="D13" i="2"/>
  <c r="G11" i="2"/>
  <c r="D11" i="2"/>
  <c r="C8" i="2"/>
  <c r="C7" i="2"/>
  <c r="C6" i="2"/>
  <c r="C5" i="2"/>
  <c r="C4" i="2"/>
  <c r="I5" i="2"/>
  <c r="I6" i="2"/>
  <c r="I7" i="2"/>
  <c r="I8" i="2"/>
  <c r="I4" i="2"/>
  <c r="F5" i="2"/>
  <c r="F6" i="2"/>
  <c r="F7" i="2"/>
  <c r="F8" i="2"/>
  <c r="F4" i="2"/>
  <c r="H5" i="2"/>
  <c r="H6" i="2"/>
  <c r="H7" i="2"/>
  <c r="H8" i="2"/>
  <c r="H4" i="2"/>
  <c r="E4" i="2"/>
  <c r="E5" i="2"/>
  <c r="E6" i="2"/>
  <c r="E7" i="2"/>
  <c r="E8" i="2"/>
  <c r="C16" i="2"/>
  <c r="C20" i="4" l="1"/>
</calcChain>
</file>

<file path=xl/sharedStrings.xml><?xml version="1.0" encoding="utf-8"?>
<sst xmlns="http://schemas.openxmlformats.org/spreadsheetml/2006/main" count="59" uniqueCount="31">
  <si>
    <t xml:space="preserve"> ENERO 2020  </t>
  </si>
  <si>
    <t xml:space="preserve">TERUEL </t>
  </si>
  <si>
    <t xml:space="preserve">INFORMACION HOTELERA </t>
  </si>
  <si>
    <t>INDIVIDUAL</t>
  </si>
  <si>
    <t>DOBLE</t>
  </si>
  <si>
    <t>HOTELES</t>
  </si>
  <si>
    <t>CATEGORIAS (num.estrellas)</t>
  </si>
  <si>
    <t>CLASIFICACION</t>
  </si>
  <si>
    <t>PRECIO</t>
  </si>
  <si>
    <t>IVA</t>
  </si>
  <si>
    <t>TOTAL</t>
  </si>
  <si>
    <t xml:space="preserve">Torico Plaza </t>
  </si>
  <si>
    <t>Reina Cristina</t>
  </si>
  <si>
    <t>El Mudayan</t>
  </si>
  <si>
    <t>Civera</t>
  </si>
  <si>
    <t>Parador</t>
  </si>
  <si>
    <t xml:space="preserve">El IVA a dia de hoy es </t>
  </si>
  <si>
    <t xml:space="preserve">es del </t>
  </si>
  <si>
    <t xml:space="preserve">El hotel mas caro tiene un precio de </t>
  </si>
  <si>
    <t>en habitacion individual</t>
  </si>
  <si>
    <t>en habitacion doble</t>
  </si>
  <si>
    <t xml:space="preserve">El hotel mas barato tiene un precio de </t>
  </si>
  <si>
    <r>
      <t xml:space="preserve">SE MARCA EN </t>
    </r>
    <r>
      <rPr>
        <sz val="11"/>
        <color theme="9" tint="-0.249977111117893"/>
        <rFont val="Calibri"/>
        <family val="2"/>
        <scheme val="minor"/>
      </rPr>
      <t>VERDE</t>
    </r>
    <r>
      <rPr>
        <sz val="11"/>
        <color theme="1"/>
        <rFont val="Calibri"/>
        <family val="2"/>
        <scheme val="minor"/>
      </rPr>
      <t xml:space="preserve"> LOS HOTELES IGUALES A DOS ESTRELLAS                                                                                                  SE MARCA EN </t>
    </r>
    <r>
      <rPr>
        <sz val="11"/>
        <color theme="5" tint="-0.249977111117893"/>
        <rFont val="Calibri"/>
        <family val="2"/>
        <scheme val="minor"/>
      </rPr>
      <t xml:space="preserve">NARANJA </t>
    </r>
    <r>
      <rPr>
        <sz val="11"/>
        <color theme="1"/>
        <rFont val="Calibri"/>
        <family val="2"/>
        <scheme val="minor"/>
      </rPr>
      <t xml:space="preserve">LOS HOTELES IGUALES A TRES ESTRELLAS                                                         SE MARCAN EN </t>
    </r>
    <r>
      <rPr>
        <sz val="11"/>
        <color theme="8"/>
        <rFont val="Calibri"/>
        <family val="2"/>
        <scheme val="minor"/>
      </rPr>
      <t>AZUL</t>
    </r>
    <r>
      <rPr>
        <sz val="11"/>
        <color theme="1"/>
        <rFont val="Calibri"/>
        <family val="2"/>
        <scheme val="minor"/>
      </rPr>
      <t xml:space="preserve"> LOS HOTELES SUPERIORES O IGUALES A CUATRO ESTRELLAS                   </t>
    </r>
  </si>
  <si>
    <t>¿BUSCAS UN HOTEL?</t>
  </si>
  <si>
    <t>Introduce el nombre del hotel</t>
  </si>
  <si>
    <t>CATEGORIAS                                       (num.estrellas)</t>
  </si>
  <si>
    <t xml:space="preserve">Ten en cuenta que el IVA es de un </t>
  </si>
  <si>
    <t>2º REALIZA UN PRESUPUESTO</t>
  </si>
  <si>
    <t>Nº de habitaciones individuales</t>
  </si>
  <si>
    <t>Nº de habitaciones dobles</t>
  </si>
  <si>
    <t>reina cristina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</si>
</sst>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\ &quot;€&quot;"/>
  </numFmts>
  <fonts count="13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C00000"/>
      <name val="Calibri"/>
      <family val="2"/>
      <scheme val="minor"/>
    </font>
    <font>
      <sz val="11"/>
      <color theme="9" tint="-0.249977111117893"/>
      <name val="Calibri"/>
      <family val="2"/>
      <scheme val="minor"/>
    </font>
    <font>
      <sz val="11"/>
      <color theme="5" tint="-0.249977111117893"/>
      <name val="Calibri"/>
      <family val="2"/>
      <scheme val="minor"/>
    </font>
    <font>
      <sz val="11"/>
      <color theme="8"/>
      <name val="Calibri"/>
      <family val="2"/>
      <scheme val="minor"/>
    </font>
    <font>
      <sz val="18"/>
      <color rgb="FFC00000"/>
      <name val="Calibri"/>
      <family val="2"/>
      <scheme val="minor"/>
    </font>
    <font>
      <sz val="11"/>
      <color theme="4" tint="-0.249977111117893"/>
      <name val="Calibri"/>
      <family val="2"/>
      <scheme val="minor"/>
    </font>
    <font>
      <sz val="20"/>
      <color rgb="FFC00000"/>
      <name val="Calibri"/>
      <family val="2"/>
      <scheme val="minor"/>
    </font>
    <font>
      <sz val="11"/>
      <color theme="0"/>
      <name val="Calibri"/>
      <family val="2"/>
      <scheme val="minor"/>
    </font>
    <font>
      <sz val="48"/>
      <color theme="0"/>
      <name val="Broadway"/>
      <family val="5"/>
    </font>
    <font>
      <sz val="36"/>
      <color theme="0"/>
      <name val="Broadway"/>
      <family val="5"/>
    </font>
  </fonts>
  <fills count="5">
    <fill>
      <patternFill patternType="none"/>
    </fill>
    <fill>
      <patternFill patternType="gray125"/>
    </fill>
    <fill>
      <patternFill patternType="solid">
        <fgColor rgb="FFC0000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990099"/>
        <bgColor indexed="64"/>
      </patternFill>
    </fill>
  </fills>
  <borders count="38">
    <border>
      <left/>
      <right/>
      <top/>
      <bottom/>
      <diagonal/>
    </border>
    <border>
      <left style="double">
        <color rgb="FFFF0000"/>
      </left>
      <right/>
      <top style="double">
        <color rgb="FFFF0000"/>
      </top>
      <bottom/>
      <diagonal/>
    </border>
    <border>
      <left/>
      <right/>
      <top style="double">
        <color rgb="FFFF0000"/>
      </top>
      <bottom/>
      <diagonal/>
    </border>
    <border>
      <left/>
      <right style="double">
        <color rgb="FFFF0000"/>
      </right>
      <top style="double">
        <color rgb="FFFF0000"/>
      </top>
      <bottom/>
      <diagonal/>
    </border>
    <border>
      <left style="double">
        <color rgb="FFFF0000"/>
      </left>
      <right/>
      <top/>
      <bottom/>
      <diagonal/>
    </border>
    <border>
      <left/>
      <right style="double">
        <color rgb="FFFF0000"/>
      </right>
      <top/>
      <bottom/>
      <diagonal/>
    </border>
    <border>
      <left style="double">
        <color rgb="FFFF0000"/>
      </left>
      <right style="double">
        <color rgb="FFFF0000"/>
      </right>
      <top style="double">
        <color rgb="FFFF0000"/>
      </top>
      <bottom/>
      <diagonal/>
    </border>
    <border>
      <left style="double">
        <color rgb="FFFF0000"/>
      </left>
      <right style="double">
        <color rgb="FFFF0000"/>
      </right>
      <top/>
      <bottom/>
      <diagonal/>
    </border>
    <border>
      <left style="double">
        <color rgb="FFC00000"/>
      </left>
      <right/>
      <top/>
      <bottom/>
      <diagonal/>
    </border>
    <border>
      <left/>
      <right style="double">
        <color rgb="FFC00000"/>
      </right>
      <top/>
      <bottom/>
      <diagonal/>
    </border>
    <border>
      <left style="double">
        <color rgb="FFC00000"/>
      </left>
      <right/>
      <top/>
      <bottom style="double">
        <color rgb="FFC00000"/>
      </bottom>
      <diagonal/>
    </border>
    <border>
      <left/>
      <right/>
      <top/>
      <bottom style="double">
        <color rgb="FFC00000"/>
      </bottom>
      <diagonal/>
    </border>
    <border>
      <left/>
      <right style="double">
        <color rgb="FFC00000"/>
      </right>
      <top/>
      <bottom style="double">
        <color rgb="FFC00000"/>
      </bottom>
      <diagonal/>
    </border>
    <border>
      <left style="double">
        <color rgb="FFC00000"/>
      </left>
      <right style="double">
        <color rgb="FFC00000"/>
      </right>
      <top/>
      <bottom/>
      <diagonal/>
    </border>
    <border>
      <left style="double">
        <color rgb="FFC00000"/>
      </left>
      <right style="double">
        <color rgb="FFC00000"/>
      </right>
      <top/>
      <bottom style="double">
        <color rgb="FFC00000"/>
      </bottom>
      <diagonal/>
    </border>
    <border>
      <left style="double">
        <color rgb="FFFF0000"/>
      </left>
      <right/>
      <top/>
      <bottom style="double">
        <color rgb="FFC00000"/>
      </bottom>
      <diagonal/>
    </border>
    <border>
      <left style="double">
        <color rgb="FFC00000"/>
      </left>
      <right/>
      <top style="double">
        <color rgb="FFFF0000"/>
      </top>
      <bottom/>
      <diagonal/>
    </border>
    <border>
      <left/>
      <right style="double">
        <color rgb="FFFF0000"/>
      </right>
      <top/>
      <bottom style="double">
        <color rgb="FFC00000"/>
      </bottom>
      <diagonal/>
    </border>
    <border>
      <left style="double">
        <color rgb="FFC00000"/>
      </left>
      <right style="double">
        <color rgb="FFFF0000"/>
      </right>
      <top/>
      <bottom style="double">
        <color rgb="FFC00000"/>
      </bottom>
      <diagonal/>
    </border>
    <border>
      <left style="medium">
        <color theme="5" tint="-0.24994659260841701"/>
      </left>
      <right/>
      <top style="medium">
        <color theme="5" tint="-0.24994659260841701"/>
      </top>
      <bottom/>
      <diagonal/>
    </border>
    <border>
      <left/>
      <right/>
      <top style="medium">
        <color theme="5" tint="-0.24994659260841701"/>
      </top>
      <bottom/>
      <diagonal/>
    </border>
    <border>
      <left/>
      <right style="medium">
        <color theme="5" tint="-0.24994659260841701"/>
      </right>
      <top style="medium">
        <color theme="5" tint="-0.24994659260841701"/>
      </top>
      <bottom/>
      <diagonal/>
    </border>
    <border>
      <left style="medium">
        <color theme="5" tint="-0.24994659260841701"/>
      </left>
      <right/>
      <top/>
      <bottom/>
      <diagonal/>
    </border>
    <border>
      <left/>
      <right style="medium">
        <color theme="5" tint="-0.24994659260841701"/>
      </right>
      <top/>
      <bottom/>
      <diagonal/>
    </border>
    <border>
      <left style="medium">
        <color theme="5" tint="-0.24994659260841701"/>
      </left>
      <right/>
      <top/>
      <bottom style="medium">
        <color theme="5" tint="-0.24994659260841701"/>
      </bottom>
      <diagonal/>
    </border>
    <border>
      <left/>
      <right/>
      <top/>
      <bottom style="medium">
        <color theme="5" tint="-0.24994659260841701"/>
      </bottom>
      <diagonal/>
    </border>
    <border>
      <left/>
      <right style="medium">
        <color theme="5" tint="-0.24994659260841701"/>
      </right>
      <top/>
      <bottom style="medium">
        <color theme="5" tint="-0.24994659260841701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thick">
        <color rgb="FFC00000"/>
      </left>
      <right style="dashDotDot">
        <color rgb="FFC00000"/>
      </right>
      <top style="thick">
        <color rgb="FFC00000"/>
      </top>
      <bottom/>
      <diagonal/>
    </border>
    <border>
      <left style="dashDotDot">
        <color rgb="FFC00000"/>
      </left>
      <right style="dashDotDot">
        <color rgb="FFC00000"/>
      </right>
      <top style="thick">
        <color rgb="FFC00000"/>
      </top>
      <bottom/>
      <diagonal/>
    </border>
    <border>
      <left style="dashDotDot">
        <color rgb="FFC00000"/>
      </left>
      <right/>
      <top style="thick">
        <color rgb="FFC00000"/>
      </top>
      <bottom/>
      <diagonal/>
    </border>
    <border>
      <left/>
      <right style="thick">
        <color rgb="FFC00000"/>
      </right>
      <top style="thick">
        <color rgb="FFC00000"/>
      </top>
      <bottom/>
      <diagonal/>
    </border>
    <border>
      <left style="thick">
        <color rgb="FFC00000"/>
      </left>
      <right style="dashDotDot">
        <color rgb="FFC00000"/>
      </right>
      <top/>
      <bottom style="thick">
        <color rgb="FFC00000"/>
      </bottom>
      <diagonal/>
    </border>
    <border>
      <left style="dashDotDot">
        <color rgb="FFC00000"/>
      </left>
      <right style="dashDotDot">
        <color rgb="FFC00000"/>
      </right>
      <top/>
      <bottom style="thick">
        <color rgb="FFC00000"/>
      </bottom>
      <diagonal/>
    </border>
    <border>
      <left style="dashDotDot">
        <color rgb="FFC00000"/>
      </left>
      <right/>
      <top/>
      <bottom style="thick">
        <color rgb="FFC00000"/>
      </bottom>
      <diagonal/>
    </border>
    <border>
      <left/>
      <right style="thick">
        <color rgb="FFC00000"/>
      </right>
      <top/>
      <bottom style="thick">
        <color rgb="FFC00000"/>
      </bottom>
      <diagonal/>
    </border>
  </borders>
  <cellStyleXfs count="1">
    <xf numFmtId="0" fontId="0" fillId="0" borderId="0"/>
  </cellStyleXfs>
  <cellXfs count="68">
    <xf numFmtId="0" fontId="0" fillId="0" borderId="0" xfId="0"/>
    <xf numFmtId="0" fontId="0" fillId="0" borderId="0" xfId="0" applyBorder="1"/>
    <xf numFmtId="164" fontId="0" fillId="0" borderId="0" xfId="0" applyNumberFormat="1" applyBorder="1"/>
    <xf numFmtId="0" fontId="0" fillId="4" borderId="0" xfId="0" applyFill="1" applyAlignment="1"/>
    <xf numFmtId="9" fontId="0" fillId="4" borderId="0" xfId="0" applyNumberFormat="1" applyFill="1" applyAlignment="1"/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9" xfId="0" applyBorder="1"/>
    <xf numFmtId="0" fontId="0" fillId="0" borderId="20" xfId="0" applyBorder="1"/>
    <xf numFmtId="0" fontId="0" fillId="0" borderId="21" xfId="0" applyBorder="1"/>
    <xf numFmtId="0" fontId="0" fillId="0" borderId="22" xfId="0" applyBorder="1"/>
    <xf numFmtId="0" fontId="0" fillId="0" borderId="23" xfId="0" applyBorder="1"/>
    <xf numFmtId="0" fontId="0" fillId="0" borderId="24" xfId="0" applyBorder="1"/>
    <xf numFmtId="0" fontId="0" fillId="0" borderId="25" xfId="0" applyBorder="1"/>
    <xf numFmtId="0" fontId="0" fillId="0" borderId="26" xfId="0" applyBorder="1"/>
    <xf numFmtId="0" fontId="1" fillId="0" borderId="0" xfId="0" applyFont="1"/>
    <xf numFmtId="0" fontId="1" fillId="2" borderId="16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2" fillId="0" borderId="8" xfId="0" applyFont="1" applyBorder="1" applyAlignment="1">
      <alignment horizontal="center"/>
    </xf>
    <xf numFmtId="0" fontId="2" fillId="0" borderId="10" xfId="0" applyFont="1" applyBorder="1" applyAlignment="1">
      <alignment horizontal="center"/>
    </xf>
    <xf numFmtId="164" fontId="2" fillId="0" borderId="4" xfId="0" applyNumberFormat="1" applyFont="1" applyBorder="1" applyAlignment="1">
      <alignment horizontal="center"/>
    </xf>
    <xf numFmtId="164" fontId="2" fillId="0" borderId="0" xfId="0" applyNumberFormat="1" applyFont="1" applyBorder="1" applyAlignment="1">
      <alignment horizontal="center"/>
    </xf>
    <xf numFmtId="164" fontId="2" fillId="0" borderId="5" xfId="0" applyNumberFormat="1" applyFont="1" applyBorder="1" applyAlignment="1">
      <alignment horizontal="center"/>
    </xf>
    <xf numFmtId="164" fontId="2" fillId="0" borderId="9" xfId="0" applyNumberFormat="1" applyFont="1" applyBorder="1" applyAlignment="1">
      <alignment horizontal="center"/>
    </xf>
    <xf numFmtId="164" fontId="2" fillId="0" borderId="15" xfId="0" applyNumberFormat="1" applyFont="1" applyBorder="1" applyAlignment="1">
      <alignment horizontal="center"/>
    </xf>
    <xf numFmtId="164" fontId="2" fillId="0" borderId="11" xfId="0" applyNumberFormat="1" applyFont="1" applyBorder="1" applyAlignment="1">
      <alignment horizontal="center"/>
    </xf>
    <xf numFmtId="164" fontId="2" fillId="0" borderId="17" xfId="0" applyNumberFormat="1" applyFont="1" applyBorder="1" applyAlignment="1">
      <alignment horizontal="center"/>
    </xf>
    <xf numFmtId="164" fontId="2" fillId="0" borderId="12" xfId="0" applyNumberFormat="1" applyFont="1" applyBorder="1" applyAlignment="1">
      <alignment horizontal="center"/>
    </xf>
    <xf numFmtId="0" fontId="2" fillId="0" borderId="0" xfId="0" applyFont="1" applyBorder="1" applyAlignment="1">
      <alignment horizontal="center"/>
    </xf>
    <xf numFmtId="0" fontId="2" fillId="0" borderId="18" xfId="0" applyFont="1" applyBorder="1" applyAlignment="1">
      <alignment horizontal="center"/>
    </xf>
    <xf numFmtId="0" fontId="3" fillId="0" borderId="0" xfId="0" applyFont="1"/>
    <xf numFmtId="9" fontId="3" fillId="0" borderId="0" xfId="0" applyNumberFormat="1" applyFont="1"/>
    <xf numFmtId="0" fontId="8" fillId="0" borderId="14" xfId="0" applyFont="1" applyBorder="1" applyAlignment="1">
      <alignment horizontal="center"/>
    </xf>
    <xf numFmtId="164" fontId="8" fillId="0" borderId="14" xfId="0" applyNumberFormat="1" applyFont="1" applyBorder="1" applyAlignment="1">
      <alignment horizontal="center"/>
    </xf>
    <xf numFmtId="0" fontId="3" fillId="0" borderId="30" xfId="0" applyFont="1" applyBorder="1"/>
    <xf numFmtId="0" fontId="3" fillId="0" borderId="31" xfId="0" applyFont="1" applyBorder="1"/>
    <xf numFmtId="0" fontId="3" fillId="0" borderId="34" xfId="0" applyFont="1" applyBorder="1"/>
    <xf numFmtId="0" fontId="3" fillId="0" borderId="35" xfId="0" applyFont="1" applyBorder="1"/>
    <xf numFmtId="0" fontId="12" fillId="2" borderId="0" xfId="0" applyFont="1" applyFill="1" applyAlignment="1">
      <alignment horizontal="center" wrapText="1"/>
    </xf>
    <xf numFmtId="0" fontId="11" fillId="2" borderId="0" xfId="0" applyFont="1" applyFill="1" applyAlignment="1">
      <alignment horizontal="center" vertical="center" wrapText="1"/>
    </xf>
    <xf numFmtId="0" fontId="11" fillId="2" borderId="0" xfId="0" applyFont="1" applyFill="1" applyAlignment="1">
      <alignment horizontal="center" vertical="top" wrapText="1"/>
    </xf>
    <xf numFmtId="0" fontId="0" fillId="0" borderId="0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0" xfId="0" applyAlignment="1">
      <alignment horizontal="center" vertical="center" wrapText="1"/>
    </xf>
    <xf numFmtId="0" fontId="1" fillId="2" borderId="5" xfId="0" applyFont="1" applyFill="1" applyBorder="1" applyAlignment="1">
      <alignment horizontal="center"/>
    </xf>
    <xf numFmtId="0" fontId="1" fillId="2" borderId="7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0" xfId="0" applyFont="1" applyFill="1" applyBorder="1" applyAlignment="1">
      <alignment horizontal="center"/>
    </xf>
    <xf numFmtId="0" fontId="0" fillId="4" borderId="0" xfId="0" applyFill="1" applyAlignment="1">
      <alignment horizontal="left"/>
    </xf>
    <xf numFmtId="14" fontId="0" fillId="4" borderId="0" xfId="0" applyNumberFormat="1" applyFill="1" applyBorder="1" applyAlignment="1">
      <alignment horizontal="center"/>
    </xf>
    <xf numFmtId="0" fontId="0" fillId="4" borderId="0" xfId="0" applyFill="1" applyBorder="1" applyAlignment="1">
      <alignment horizontal="center"/>
    </xf>
    <xf numFmtId="0" fontId="0" fillId="3" borderId="22" xfId="0" applyFill="1" applyBorder="1" applyAlignment="1">
      <alignment horizontal="center"/>
    </xf>
    <xf numFmtId="0" fontId="0" fillId="3" borderId="0" xfId="0" applyFill="1" applyBorder="1" applyAlignment="1">
      <alignment horizontal="center"/>
    </xf>
    <xf numFmtId="0" fontId="3" fillId="0" borderId="0" xfId="0" applyFont="1" applyAlignment="1">
      <alignment horizontal="right"/>
    </xf>
    <xf numFmtId="0" fontId="7" fillId="0" borderId="0" xfId="0" applyFont="1" applyAlignment="1">
      <alignment horizontal="center" vertical="center"/>
    </xf>
    <xf numFmtId="0" fontId="3" fillId="0" borderId="27" xfId="0" applyFont="1" applyBorder="1" applyAlignment="1">
      <alignment horizontal="center"/>
    </xf>
    <xf numFmtId="0" fontId="3" fillId="0" borderId="28" xfId="0" applyFont="1" applyBorder="1" applyAlignment="1">
      <alignment horizontal="center"/>
    </xf>
    <xf numFmtId="0" fontId="3" fillId="0" borderId="29" xfId="0" applyFont="1" applyBorder="1" applyAlignment="1">
      <alignment horizontal="center"/>
    </xf>
    <xf numFmtId="164" fontId="10" fillId="2" borderId="0" xfId="0" applyNumberFormat="1" applyFont="1" applyFill="1" applyBorder="1" applyAlignment="1">
      <alignment horizontal="center"/>
    </xf>
    <xf numFmtId="0" fontId="10" fillId="2" borderId="0" xfId="0" applyFont="1" applyFill="1" applyBorder="1" applyAlignment="1">
      <alignment horizontal="center"/>
    </xf>
    <xf numFmtId="0" fontId="9" fillId="0" borderId="0" xfId="0" applyFont="1" applyAlignment="1">
      <alignment horizontal="center"/>
    </xf>
    <xf numFmtId="164" fontId="3" fillId="0" borderId="32" xfId="0" applyNumberFormat="1" applyFont="1" applyBorder="1" applyAlignment="1">
      <alignment horizontal="center"/>
    </xf>
    <xf numFmtId="0" fontId="3" fillId="0" borderId="33" xfId="0" applyFont="1" applyBorder="1" applyAlignment="1">
      <alignment horizontal="center"/>
    </xf>
    <xf numFmtId="164" fontId="3" fillId="0" borderId="36" xfId="0" applyNumberFormat="1" applyFont="1" applyBorder="1" applyAlignment="1">
      <alignment horizontal="center"/>
    </xf>
    <xf numFmtId="0" fontId="3" fillId="0" borderId="37" xfId="0" applyFont="1" applyBorder="1" applyAlignment="1">
      <alignment horizontal="center"/>
    </xf>
  </cellXfs>
  <cellStyles count="1">
    <cellStyle name="Normal" xfId="0" builtinId="0"/>
  </cellStyles>
  <dxfs count="4">
    <dxf>
      <font>
        <color theme="4" tint="-0.24994659260841701"/>
      </font>
      <fill>
        <patternFill>
          <bgColor theme="0"/>
        </patternFill>
      </fill>
    </dxf>
    <dxf>
      <font>
        <color rgb="FF0070C0"/>
      </font>
      <fill>
        <patternFill>
          <bgColor theme="0"/>
        </patternFill>
      </fill>
    </dxf>
    <dxf>
      <font>
        <color theme="5" tint="-0.24994659260841701"/>
      </font>
      <fill>
        <patternFill>
          <bgColor theme="0"/>
        </patternFill>
      </fill>
    </dxf>
    <dxf>
      <font>
        <color theme="9"/>
      </font>
      <fill>
        <patternFill>
          <bgColor theme="0"/>
        </patternFill>
      </fill>
    </dxf>
  </dxfs>
  <tableStyles count="0" defaultTableStyle="TableStyleMedium2" defaultPivotStyle="PivotStyleLight16"/>
  <colors>
    <mruColors>
      <color rgb="FF9900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K23"/>
  <sheetViews>
    <sheetView workbookViewId="0">
      <selection activeCell="N13" sqref="N13"/>
    </sheetView>
  </sheetViews>
  <sheetFormatPr baseColWidth="10" defaultRowHeight="15" x14ac:dyDescent="0.25"/>
  <cols>
    <col min="1" max="1" width="7.85546875" customWidth="1"/>
    <col min="2" max="2" width="11.42578125" customWidth="1"/>
    <col min="11" max="11" width="12" customWidth="1"/>
  </cols>
  <sheetData>
    <row r="2" spans="2:11" ht="15" customHeight="1" x14ac:dyDescent="0.25">
      <c r="B2" s="41" t="s">
        <v>2</v>
      </c>
      <c r="C2" s="41"/>
      <c r="D2" s="41"/>
      <c r="E2" s="41"/>
      <c r="F2" s="41"/>
      <c r="G2" s="41"/>
      <c r="H2" s="41"/>
      <c r="I2" s="41"/>
      <c r="J2" s="41"/>
      <c r="K2" s="41"/>
    </row>
    <row r="3" spans="2:11" x14ac:dyDescent="0.25">
      <c r="B3" s="41"/>
      <c r="C3" s="41"/>
      <c r="D3" s="41"/>
      <c r="E3" s="41"/>
      <c r="F3" s="41"/>
      <c r="G3" s="41"/>
      <c r="H3" s="41"/>
      <c r="I3" s="41"/>
      <c r="J3" s="41"/>
      <c r="K3" s="41"/>
    </row>
    <row r="4" spans="2:11" x14ac:dyDescent="0.25">
      <c r="B4" s="41"/>
      <c r="C4" s="41"/>
      <c r="D4" s="41"/>
      <c r="E4" s="41"/>
      <c r="F4" s="41"/>
      <c r="G4" s="41"/>
      <c r="H4" s="41"/>
      <c r="I4" s="41"/>
      <c r="J4" s="41"/>
      <c r="K4" s="41"/>
    </row>
    <row r="5" spans="2:11" x14ac:dyDescent="0.25">
      <c r="B5" s="41"/>
      <c r="C5" s="41"/>
      <c r="D5" s="41"/>
      <c r="E5" s="41"/>
      <c r="F5" s="41"/>
      <c r="G5" s="41"/>
      <c r="H5" s="41"/>
      <c r="I5" s="41"/>
      <c r="J5" s="41"/>
      <c r="K5" s="41"/>
    </row>
    <row r="6" spans="2:11" x14ac:dyDescent="0.25">
      <c r="B6" s="41"/>
      <c r="C6" s="41"/>
      <c r="D6" s="41"/>
      <c r="E6" s="41"/>
      <c r="F6" s="41"/>
      <c r="G6" s="41"/>
      <c r="H6" s="41"/>
      <c r="I6" s="41"/>
      <c r="J6" s="41"/>
      <c r="K6" s="41"/>
    </row>
    <row r="7" spans="2:11" x14ac:dyDescent="0.25">
      <c r="B7" s="41"/>
      <c r="C7" s="41"/>
      <c r="D7" s="41"/>
      <c r="E7" s="41"/>
      <c r="F7" s="41"/>
      <c r="G7" s="41"/>
      <c r="H7" s="41"/>
      <c r="I7" s="41"/>
      <c r="J7" s="41"/>
      <c r="K7" s="41"/>
    </row>
    <row r="8" spans="2:11" x14ac:dyDescent="0.25">
      <c r="B8" s="41"/>
      <c r="C8" s="41"/>
      <c r="D8" s="41"/>
      <c r="E8" s="41"/>
      <c r="F8" s="41"/>
      <c r="G8" s="41"/>
      <c r="H8" s="41"/>
      <c r="I8" s="41"/>
      <c r="J8" s="41"/>
      <c r="K8" s="41"/>
    </row>
    <row r="9" spans="2:11" x14ac:dyDescent="0.25">
      <c r="B9" s="41"/>
      <c r="C9" s="41"/>
      <c r="D9" s="41"/>
      <c r="E9" s="41"/>
      <c r="F9" s="41"/>
      <c r="G9" s="41"/>
      <c r="H9" s="41"/>
      <c r="I9" s="41"/>
      <c r="J9" s="41"/>
      <c r="K9" s="41"/>
    </row>
    <row r="10" spans="2:11" x14ac:dyDescent="0.25">
      <c r="B10" s="41"/>
      <c r="C10" s="41"/>
      <c r="D10" s="41"/>
      <c r="E10" s="41"/>
      <c r="F10" s="41"/>
      <c r="G10" s="41"/>
      <c r="H10" s="41"/>
      <c r="I10" s="41"/>
      <c r="J10" s="41"/>
      <c r="K10" s="41"/>
    </row>
    <row r="11" spans="2:11" x14ac:dyDescent="0.25">
      <c r="B11" s="42" t="s">
        <v>1</v>
      </c>
      <c r="C11" s="42"/>
      <c r="D11" s="42"/>
      <c r="E11" s="42"/>
      <c r="F11" s="42"/>
      <c r="G11" s="42"/>
      <c r="H11" s="42"/>
      <c r="I11" s="42"/>
      <c r="J11" s="42"/>
      <c r="K11" s="42"/>
    </row>
    <row r="12" spans="2:11" x14ac:dyDescent="0.25">
      <c r="B12" s="42"/>
      <c r="C12" s="42"/>
      <c r="D12" s="42"/>
      <c r="E12" s="42"/>
      <c r="F12" s="42"/>
      <c r="G12" s="42"/>
      <c r="H12" s="42"/>
      <c r="I12" s="42"/>
      <c r="J12" s="42"/>
      <c r="K12" s="42"/>
    </row>
    <row r="13" spans="2:11" x14ac:dyDescent="0.25">
      <c r="B13" s="42"/>
      <c r="C13" s="42"/>
      <c r="D13" s="42"/>
      <c r="E13" s="42"/>
      <c r="F13" s="42"/>
      <c r="G13" s="42"/>
      <c r="H13" s="42"/>
      <c r="I13" s="42"/>
      <c r="J13" s="42"/>
      <c r="K13" s="42"/>
    </row>
    <row r="14" spans="2:11" x14ac:dyDescent="0.25">
      <c r="B14" s="42"/>
      <c r="C14" s="42"/>
      <c r="D14" s="42"/>
      <c r="E14" s="42"/>
      <c r="F14" s="42"/>
      <c r="G14" s="42"/>
      <c r="H14" s="42"/>
      <c r="I14" s="42"/>
      <c r="J14" s="42"/>
      <c r="K14" s="42"/>
    </row>
    <row r="15" spans="2:11" x14ac:dyDescent="0.25">
      <c r="B15" s="42"/>
      <c r="C15" s="42"/>
      <c r="D15" s="42"/>
      <c r="E15" s="42"/>
      <c r="F15" s="42"/>
      <c r="G15" s="42"/>
      <c r="H15" s="42"/>
      <c r="I15" s="42"/>
      <c r="J15" s="42"/>
      <c r="K15" s="42"/>
    </row>
    <row r="16" spans="2:11" x14ac:dyDescent="0.25">
      <c r="B16" s="42"/>
      <c r="C16" s="42"/>
      <c r="D16" s="42"/>
      <c r="E16" s="42"/>
      <c r="F16" s="42"/>
      <c r="G16" s="42"/>
      <c r="H16" s="42"/>
      <c r="I16" s="42"/>
      <c r="J16" s="42"/>
      <c r="K16" s="42"/>
    </row>
    <row r="17" spans="2:11" x14ac:dyDescent="0.25">
      <c r="B17" s="43" t="s">
        <v>0</v>
      </c>
      <c r="C17" s="43"/>
      <c r="D17" s="43"/>
      <c r="E17" s="43"/>
      <c r="F17" s="43"/>
      <c r="G17" s="43"/>
      <c r="H17" s="43"/>
      <c r="I17" s="43"/>
      <c r="J17" s="43"/>
      <c r="K17" s="43"/>
    </row>
    <row r="18" spans="2:11" x14ac:dyDescent="0.25">
      <c r="B18" s="43"/>
      <c r="C18" s="43"/>
      <c r="D18" s="43"/>
      <c r="E18" s="43"/>
      <c r="F18" s="43"/>
      <c r="G18" s="43"/>
      <c r="H18" s="43"/>
      <c r="I18" s="43"/>
      <c r="J18" s="43"/>
      <c r="K18" s="43"/>
    </row>
    <row r="19" spans="2:11" x14ac:dyDescent="0.25">
      <c r="B19" s="43"/>
      <c r="C19" s="43"/>
      <c r="D19" s="43"/>
      <c r="E19" s="43"/>
      <c r="F19" s="43"/>
      <c r="G19" s="43"/>
      <c r="H19" s="43"/>
      <c r="I19" s="43"/>
      <c r="J19" s="43"/>
      <c r="K19" s="43"/>
    </row>
    <row r="20" spans="2:11" x14ac:dyDescent="0.25">
      <c r="B20" s="43"/>
      <c r="C20" s="43"/>
      <c r="D20" s="43"/>
      <c r="E20" s="43"/>
      <c r="F20" s="43"/>
      <c r="G20" s="43"/>
      <c r="H20" s="43"/>
      <c r="I20" s="43"/>
      <c r="J20" s="43"/>
      <c r="K20" s="43"/>
    </row>
    <row r="21" spans="2:11" x14ac:dyDescent="0.25">
      <c r="B21" s="43"/>
      <c r="C21" s="43"/>
      <c r="D21" s="43"/>
      <c r="E21" s="43"/>
      <c r="F21" s="43"/>
      <c r="G21" s="43"/>
      <c r="H21" s="43"/>
      <c r="I21" s="43"/>
      <c r="J21" s="43"/>
      <c r="K21" s="43"/>
    </row>
    <row r="22" spans="2:11" x14ac:dyDescent="0.25">
      <c r="B22" s="43"/>
      <c r="C22" s="43"/>
      <c r="D22" s="43"/>
      <c r="E22" s="43"/>
      <c r="F22" s="43"/>
      <c r="G22" s="43"/>
      <c r="H22" s="43"/>
      <c r="I22" s="43"/>
      <c r="J22" s="43"/>
      <c r="K22" s="43"/>
    </row>
    <row r="23" spans="2:11" x14ac:dyDescent="0.25">
      <c r="B23" s="43"/>
      <c r="C23" s="43"/>
      <c r="D23" s="43"/>
      <c r="E23" s="43"/>
      <c r="F23" s="43"/>
      <c r="G23" s="43"/>
      <c r="H23" s="43"/>
      <c r="I23" s="43"/>
      <c r="J23" s="43"/>
      <c r="K23" s="43"/>
    </row>
  </sheetData>
  <mergeCells count="3">
    <mergeCell ref="B2:K10"/>
    <mergeCell ref="B11:K16"/>
    <mergeCell ref="B17:K23"/>
  </mergeCells>
  <pageMargins left="0.7" right="0.7" top="0.75" bottom="0.75" header="0.3" footer="0.3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I22"/>
  <sheetViews>
    <sheetView workbookViewId="0">
      <selection activeCell="J15" sqref="J15"/>
    </sheetView>
  </sheetViews>
  <sheetFormatPr baseColWidth="10" defaultRowHeight="15" x14ac:dyDescent="0.25"/>
  <cols>
    <col min="1" max="1" width="13.140625" bestFit="1" customWidth="1"/>
    <col min="2" max="2" width="18.7109375" customWidth="1"/>
    <col min="3" max="3" width="14.42578125" bestFit="1" customWidth="1"/>
    <col min="4" max="4" width="7.42578125" bestFit="1" customWidth="1"/>
    <col min="5" max="5" width="10.85546875" customWidth="1"/>
    <col min="7" max="7" width="7.42578125" bestFit="1" customWidth="1"/>
    <col min="8" max="8" width="7.5703125" customWidth="1"/>
    <col min="9" max="9" width="11.85546875" customWidth="1"/>
  </cols>
  <sheetData>
    <row r="2" spans="1:9" ht="15.75" thickBot="1" x14ac:dyDescent="0.3">
      <c r="A2" s="15"/>
      <c r="B2" s="15"/>
      <c r="C2" s="15"/>
      <c r="D2" s="47" t="s">
        <v>3</v>
      </c>
      <c r="E2" s="48"/>
      <c r="F2" s="49"/>
      <c r="G2" s="49" t="s">
        <v>4</v>
      </c>
      <c r="H2" s="50"/>
      <c r="I2" s="50"/>
    </row>
    <row r="3" spans="1:9" ht="27.75" customHeight="1" thickTop="1" x14ac:dyDescent="0.25">
      <c r="A3" s="16" t="s">
        <v>5</v>
      </c>
      <c r="B3" s="17" t="s">
        <v>6</v>
      </c>
      <c r="C3" s="18" t="s">
        <v>7</v>
      </c>
      <c r="D3" s="19" t="s">
        <v>8</v>
      </c>
      <c r="E3" s="20" t="s">
        <v>9</v>
      </c>
      <c r="F3" s="18" t="s">
        <v>10</v>
      </c>
      <c r="G3" s="19" t="s">
        <v>8</v>
      </c>
      <c r="H3" s="20" t="s">
        <v>9</v>
      </c>
      <c r="I3" s="18" t="s">
        <v>10</v>
      </c>
    </row>
    <row r="4" spans="1:9" x14ac:dyDescent="0.25">
      <c r="A4" s="21" t="s">
        <v>11</v>
      </c>
      <c r="B4" s="5">
        <v>2</v>
      </c>
      <c r="C4" s="31" t="str">
        <f>IF(B4 = 2,"Economico ",IF(B4 = 3,"Calidad",IF(B4 =4,"Excepcional")))</f>
        <v xml:space="preserve">Economico </v>
      </c>
      <c r="D4" s="23">
        <v>45.9</v>
      </c>
      <c r="E4" s="24">
        <f>(D4*$G$16)</f>
        <v>9.6389999999999993</v>
      </c>
      <c r="F4" s="25">
        <f>(D4+E4)</f>
        <v>55.539000000000001</v>
      </c>
      <c r="G4" s="24">
        <v>60.9</v>
      </c>
      <c r="H4" s="24">
        <f>(G4*$G$16)</f>
        <v>12.789</v>
      </c>
      <c r="I4" s="26">
        <f>G4+H4</f>
        <v>73.688999999999993</v>
      </c>
    </row>
    <row r="5" spans="1:9" x14ac:dyDescent="0.25">
      <c r="A5" s="21" t="s">
        <v>12</v>
      </c>
      <c r="B5" s="5">
        <v>3</v>
      </c>
      <c r="C5" s="31" t="str">
        <f>IF(B5 = 2,"Economico ",IF(B5 = 3,"Calidad",IF(B5 =4,"Excepcional")))</f>
        <v>Calidad</v>
      </c>
      <c r="D5" s="23">
        <v>50.95</v>
      </c>
      <c r="E5" s="24">
        <f t="shared" ref="E5:E8" si="0">(D5*$G$16)</f>
        <v>10.6995</v>
      </c>
      <c r="F5" s="25">
        <f t="shared" ref="F5:F8" si="1">(D5+E5)</f>
        <v>61.649500000000003</v>
      </c>
      <c r="G5" s="24">
        <v>69.900000000000006</v>
      </c>
      <c r="H5" s="24">
        <f t="shared" ref="H5:H8" si="2">(G5*$G$16)</f>
        <v>14.679</v>
      </c>
      <c r="I5" s="26">
        <f t="shared" ref="I5:I8" si="3">G5+H5</f>
        <v>84.579000000000008</v>
      </c>
    </row>
    <row r="6" spans="1:9" x14ac:dyDescent="0.25">
      <c r="A6" s="21" t="s">
        <v>13</v>
      </c>
      <c r="B6" s="5">
        <v>4</v>
      </c>
      <c r="C6" s="31" t="str">
        <f>IF(B6 = 2,"Economico ",IF(B6 = 3,"Calidad",IF(B6 =4,"Excepcional")))</f>
        <v>Excepcional</v>
      </c>
      <c r="D6" s="23">
        <v>35.9</v>
      </c>
      <c r="E6" s="24">
        <f t="shared" si="0"/>
        <v>7.5389999999999997</v>
      </c>
      <c r="F6" s="25">
        <f t="shared" si="1"/>
        <v>43.439</v>
      </c>
      <c r="G6" s="24">
        <v>57.75</v>
      </c>
      <c r="H6" s="24">
        <f t="shared" si="2"/>
        <v>12.1275</v>
      </c>
      <c r="I6" s="26">
        <f t="shared" si="3"/>
        <v>69.877499999999998</v>
      </c>
    </row>
    <row r="7" spans="1:9" x14ac:dyDescent="0.25">
      <c r="A7" s="21" t="s">
        <v>14</v>
      </c>
      <c r="B7" s="5">
        <v>2</v>
      </c>
      <c r="C7" s="31" t="str">
        <f>IF(B7 = 2,"Economico ",IF(B7 = 3,"Calidad",IF(B7 =4,"Excepcional")))</f>
        <v xml:space="preserve">Economico </v>
      </c>
      <c r="D7" s="23">
        <v>29.9</v>
      </c>
      <c r="E7" s="24">
        <f t="shared" si="0"/>
        <v>6.278999999999999</v>
      </c>
      <c r="F7" s="25">
        <f t="shared" si="1"/>
        <v>36.178999999999995</v>
      </c>
      <c r="G7" s="24">
        <v>45.5</v>
      </c>
      <c r="H7" s="24">
        <f t="shared" si="2"/>
        <v>9.5549999999999997</v>
      </c>
      <c r="I7" s="26">
        <f t="shared" si="3"/>
        <v>55.055</v>
      </c>
    </row>
    <row r="8" spans="1:9" ht="15.75" thickBot="1" x14ac:dyDescent="0.3">
      <c r="A8" s="22" t="s">
        <v>15</v>
      </c>
      <c r="B8" s="6">
        <v>3</v>
      </c>
      <c r="C8" s="32" t="str">
        <f>IF(B8 = 2,"Economico ",IF(B8 = 3,"Calidad",IF(B8 =4,"Excepcional")))</f>
        <v>Calidad</v>
      </c>
      <c r="D8" s="27">
        <v>59.9</v>
      </c>
      <c r="E8" s="28">
        <f t="shared" si="0"/>
        <v>12.578999999999999</v>
      </c>
      <c r="F8" s="29">
        <f t="shared" si="1"/>
        <v>72.478999999999999</v>
      </c>
      <c r="G8" s="28">
        <v>70.900000000000006</v>
      </c>
      <c r="H8" s="28">
        <f t="shared" si="2"/>
        <v>14.889000000000001</v>
      </c>
      <c r="I8" s="30">
        <f t="shared" si="3"/>
        <v>85.789000000000001</v>
      </c>
    </row>
    <row r="9" spans="1:9" ht="16.5" thickTop="1" thickBot="1" x14ac:dyDescent="0.3"/>
    <row r="10" spans="1:9" x14ac:dyDescent="0.25">
      <c r="A10" s="7"/>
      <c r="B10" s="8"/>
      <c r="C10" s="8"/>
      <c r="D10" s="8"/>
      <c r="E10" s="8"/>
      <c r="F10" s="8"/>
      <c r="G10" s="8"/>
      <c r="H10" s="8"/>
      <c r="I10" s="9"/>
    </row>
    <row r="11" spans="1:9" x14ac:dyDescent="0.25">
      <c r="A11" s="54" t="s">
        <v>18</v>
      </c>
      <c r="B11" s="55"/>
      <c r="C11" s="55"/>
      <c r="D11" s="2">
        <f>MAX(F4:F8)</f>
        <v>72.478999999999999</v>
      </c>
      <c r="E11" s="44" t="s">
        <v>19</v>
      </c>
      <c r="F11" s="44"/>
      <c r="G11" s="2">
        <f>MAX(I4:I8)</f>
        <v>85.789000000000001</v>
      </c>
      <c r="H11" s="44" t="s">
        <v>20</v>
      </c>
      <c r="I11" s="45"/>
    </row>
    <row r="12" spans="1:9" x14ac:dyDescent="0.25">
      <c r="A12" s="10"/>
      <c r="B12" s="1"/>
      <c r="C12" s="1"/>
      <c r="D12" s="1"/>
      <c r="E12" s="1"/>
      <c r="F12" s="1"/>
      <c r="G12" s="1"/>
      <c r="H12" s="1"/>
      <c r="I12" s="11"/>
    </row>
    <row r="13" spans="1:9" x14ac:dyDescent="0.25">
      <c r="A13" s="54" t="s">
        <v>21</v>
      </c>
      <c r="B13" s="55"/>
      <c r="C13" s="55"/>
      <c r="D13" s="2">
        <f>MIN(F4:F8)</f>
        <v>36.178999999999995</v>
      </c>
      <c r="E13" s="44" t="s">
        <v>19</v>
      </c>
      <c r="F13" s="44"/>
      <c r="G13" s="2">
        <f>MIN(I4:I8)</f>
        <v>55.055</v>
      </c>
      <c r="H13" s="44" t="s">
        <v>20</v>
      </c>
      <c r="I13" s="45"/>
    </row>
    <row r="14" spans="1:9" ht="15.75" thickBot="1" x14ac:dyDescent="0.3">
      <c r="A14" s="12"/>
      <c r="B14" s="13"/>
      <c r="C14" s="13"/>
      <c r="D14" s="13"/>
      <c r="E14" s="13"/>
      <c r="F14" s="13"/>
      <c r="G14" s="13"/>
      <c r="H14" s="13"/>
      <c r="I14" s="14"/>
    </row>
    <row r="16" spans="1:9" x14ac:dyDescent="0.25">
      <c r="A16" s="51" t="s">
        <v>16</v>
      </c>
      <c r="B16" s="51"/>
      <c r="C16" s="52">
        <f ca="1">TODAY()</f>
        <v>44596</v>
      </c>
      <c r="D16" s="53"/>
      <c r="E16" s="53"/>
      <c r="F16" s="3" t="s">
        <v>17</v>
      </c>
      <c r="G16" s="4">
        <v>0.21</v>
      </c>
    </row>
    <row r="18" spans="2:8" x14ac:dyDescent="0.25">
      <c r="B18" s="46" t="s">
        <v>22</v>
      </c>
      <c r="C18" s="46"/>
      <c r="D18" s="46"/>
      <c r="E18" s="46"/>
      <c r="F18" s="46"/>
      <c r="G18" s="46"/>
      <c r="H18" s="46"/>
    </row>
    <row r="19" spans="2:8" x14ac:dyDescent="0.25">
      <c r="B19" s="46"/>
      <c r="C19" s="46"/>
      <c r="D19" s="46"/>
      <c r="E19" s="46"/>
      <c r="F19" s="46"/>
      <c r="G19" s="46"/>
      <c r="H19" s="46"/>
    </row>
    <row r="20" spans="2:8" x14ac:dyDescent="0.25">
      <c r="B20" s="46"/>
      <c r="C20" s="46"/>
      <c r="D20" s="46"/>
      <c r="E20" s="46"/>
      <c r="F20" s="46"/>
      <c r="G20" s="46"/>
      <c r="H20" s="46"/>
    </row>
    <row r="21" spans="2:8" x14ac:dyDescent="0.25">
      <c r="B21" s="46"/>
      <c r="C21" s="46"/>
      <c r="D21" s="46"/>
      <c r="E21" s="46"/>
      <c r="F21" s="46"/>
      <c r="G21" s="46"/>
      <c r="H21" s="46"/>
    </row>
    <row r="22" spans="2:8" x14ac:dyDescent="0.25">
      <c r="B22" s="46"/>
      <c r="C22" s="46"/>
      <c r="D22" s="46"/>
      <c r="E22" s="46"/>
      <c r="F22" s="46"/>
      <c r="G22" s="46"/>
      <c r="H22" s="46"/>
    </row>
  </sheetData>
  <mergeCells count="11">
    <mergeCell ref="H11:I11"/>
    <mergeCell ref="H13:I13"/>
    <mergeCell ref="B18:H22"/>
    <mergeCell ref="D2:F2"/>
    <mergeCell ref="G2:I2"/>
    <mergeCell ref="A16:B16"/>
    <mergeCell ref="C16:E16"/>
    <mergeCell ref="A11:C11"/>
    <mergeCell ref="A13:C13"/>
    <mergeCell ref="E11:F11"/>
    <mergeCell ref="E13:F13"/>
  </mergeCells>
  <conditionalFormatting sqref="B4:B8">
    <cfRule type="cellIs" dxfId="3" priority="5" operator="equal">
      <formula>2</formula>
    </cfRule>
    <cfRule type="cellIs" dxfId="2" priority="4" operator="equal">
      <formula>3</formula>
    </cfRule>
    <cfRule type="cellIs" dxfId="1" priority="3" operator="equal">
      <formula>4</formula>
    </cfRule>
    <cfRule type="cellIs" dxfId="0" priority="2" operator="greaterThan">
      <formula>4</formula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iconSet" priority="1" id="{AAB8DD96-AC35-424E-B0AB-DAF0FC31A4E9}">
            <x14:iconSet iconSet="3Stars">
              <x14:cfvo type="percent">
                <xm:f>0</xm:f>
              </x14:cfvo>
              <x14:cfvo type="percent">
                <xm:f>33</xm:f>
              </x14:cfvo>
              <x14:cfvo type="percent">
                <xm:f>67</xm:f>
              </x14:cfvo>
            </x14:iconSet>
          </x14:cfRule>
          <xm:sqref>B4:B8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2"/>
  <sheetViews>
    <sheetView workbookViewId="0">
      <selection activeCell="C10" sqref="C10"/>
    </sheetView>
  </sheetViews>
  <sheetFormatPr baseColWidth="10" defaultRowHeight="15" x14ac:dyDescent="0.25"/>
  <cols>
    <col min="1" max="1" width="26.140625" customWidth="1"/>
    <col min="2" max="2" width="14.42578125" bestFit="1" customWidth="1"/>
  </cols>
  <sheetData>
    <row r="1" spans="1:8" x14ac:dyDescent="0.25">
      <c r="A1" s="57" t="s">
        <v>23</v>
      </c>
      <c r="B1" s="57"/>
      <c r="C1" s="57"/>
      <c r="D1" s="57"/>
      <c r="E1" s="57"/>
      <c r="F1" s="57"/>
      <c r="G1" s="57"/>
      <c r="H1" s="57"/>
    </row>
    <row r="2" spans="1:8" x14ac:dyDescent="0.25">
      <c r="A2" s="57"/>
      <c r="B2" s="57"/>
      <c r="C2" s="57"/>
      <c r="D2" s="57"/>
      <c r="E2" s="57"/>
      <c r="F2" s="57"/>
      <c r="G2" s="57"/>
      <c r="H2" s="57"/>
    </row>
    <row r="3" spans="1:8" ht="15.75" thickBot="1" x14ac:dyDescent="0.3"/>
    <row r="4" spans="1:8" ht="15.75" thickBot="1" x14ac:dyDescent="0.3">
      <c r="A4" s="33" t="s">
        <v>24</v>
      </c>
      <c r="C4" s="58" t="s">
        <v>14</v>
      </c>
      <c r="D4" s="59"/>
      <c r="E4" s="59"/>
      <c r="F4" s="59"/>
      <c r="G4" s="59"/>
      <c r="H4" s="60"/>
    </row>
    <row r="8" spans="1:8" ht="15.75" thickBot="1" x14ac:dyDescent="0.3">
      <c r="A8" s="15"/>
      <c r="B8" s="15"/>
      <c r="C8" s="47" t="s">
        <v>3</v>
      </c>
      <c r="D8" s="48"/>
      <c r="E8" s="49"/>
      <c r="F8" s="49" t="s">
        <v>4</v>
      </c>
      <c r="G8" s="50"/>
      <c r="H8" s="50"/>
    </row>
    <row r="9" spans="1:8" ht="30.75" thickTop="1" x14ac:dyDescent="0.25">
      <c r="A9" s="17" t="s">
        <v>25</v>
      </c>
      <c r="B9" s="18" t="s">
        <v>7</v>
      </c>
      <c r="C9" s="19" t="s">
        <v>8</v>
      </c>
      <c r="D9" s="20" t="s">
        <v>9</v>
      </c>
      <c r="E9" s="18" t="s">
        <v>10</v>
      </c>
      <c r="F9" s="19" t="s">
        <v>8</v>
      </c>
      <c r="G9" s="20" t="s">
        <v>9</v>
      </c>
      <c r="H9" s="18" t="s">
        <v>10</v>
      </c>
    </row>
    <row r="10" spans="1:8" ht="15.75" thickBot="1" x14ac:dyDescent="0.3">
      <c r="A10" s="35">
        <f>VLOOKUP(C4,Hoteles!A4:B8,2,FALSE)</f>
        <v>2</v>
      </c>
      <c r="B10" s="35" t="str">
        <f>VLOOKUP(C4,Hoteles!A4:C8,3,FALSE)</f>
        <v xml:space="preserve">Economico </v>
      </c>
      <c r="C10" s="36">
        <f>VLOOKUP(C4,Hoteles!A4:D8,4,FALSE)</f>
        <v>29.9</v>
      </c>
      <c r="D10" s="36">
        <f>VLOOKUP(C4,Hoteles!A4:E8,5,FALSE)</f>
        <v>6.278999999999999</v>
      </c>
      <c r="E10" s="36">
        <f>VLOOKUP(C4,Hoteles!A4:F8,6,FALSE)</f>
        <v>36.178999999999995</v>
      </c>
      <c r="F10" s="36">
        <f>VLOOKUP(C4,Hoteles!A4:G8,7,FALSE)</f>
        <v>45.5</v>
      </c>
      <c r="G10" s="36">
        <f>VLOOKUP(C4,Hoteles!A4:H8,8,FALSE)</f>
        <v>9.5549999999999997</v>
      </c>
      <c r="H10" s="36">
        <f>VLOOKUP(C4,Hoteles!A4:I8,9,FALSE)</f>
        <v>55.055</v>
      </c>
    </row>
    <row r="11" spans="1:8" ht="15.75" thickTop="1" x14ac:dyDescent="0.25"/>
    <row r="12" spans="1:8" x14ac:dyDescent="0.25">
      <c r="A12" s="56" t="s">
        <v>26</v>
      </c>
      <c r="B12" s="56"/>
      <c r="C12" s="56"/>
      <c r="D12" s="56"/>
      <c r="E12" s="56"/>
      <c r="F12" s="56"/>
      <c r="G12" s="56"/>
      <c r="H12" s="34">
        <v>0.21</v>
      </c>
    </row>
  </sheetData>
  <mergeCells count="5">
    <mergeCell ref="A12:G12"/>
    <mergeCell ref="A1:H2"/>
    <mergeCell ref="C4:H4"/>
    <mergeCell ref="C8:E8"/>
    <mergeCell ref="F8:H8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0"/>
  <sheetViews>
    <sheetView tabSelected="1" workbookViewId="0">
      <selection activeCell="C5" sqref="C5"/>
    </sheetView>
  </sheetViews>
  <sheetFormatPr baseColWidth="10" defaultRowHeight="15" x14ac:dyDescent="0.25"/>
  <cols>
    <col min="1" max="1" width="29.42578125" bestFit="1" customWidth="1"/>
  </cols>
  <sheetData>
    <row r="1" spans="1:8" x14ac:dyDescent="0.25">
      <c r="A1" s="57" t="s">
        <v>23</v>
      </c>
      <c r="B1" s="57"/>
      <c r="C1" s="57"/>
      <c r="D1" s="57"/>
      <c r="E1" s="57"/>
      <c r="F1" s="57"/>
      <c r="G1" s="57"/>
      <c r="H1" s="57"/>
    </row>
    <row r="2" spans="1:8" x14ac:dyDescent="0.25">
      <c r="A2" s="57"/>
      <c r="B2" s="57"/>
      <c r="C2" s="57"/>
      <c r="D2" s="57"/>
      <c r="E2" s="57"/>
      <c r="F2" s="57"/>
      <c r="G2" s="57"/>
      <c r="H2" s="57"/>
    </row>
    <row r="3" spans="1:8" ht="15.75" thickBot="1" x14ac:dyDescent="0.3"/>
    <row r="4" spans="1:8" ht="15.75" thickBot="1" x14ac:dyDescent="0.3">
      <c r="A4" s="33" t="s">
        <v>24</v>
      </c>
      <c r="C4" s="58" t="s">
        <v>30</v>
      </c>
      <c r="D4" s="59"/>
      <c r="E4" s="59"/>
      <c r="F4" s="59"/>
      <c r="G4" s="59"/>
      <c r="H4" s="60"/>
    </row>
    <row r="8" spans="1:8" ht="15.75" thickBot="1" x14ac:dyDescent="0.3">
      <c r="A8" s="15"/>
      <c r="B8" s="15"/>
      <c r="C8" s="47" t="s">
        <v>3</v>
      </c>
      <c r="D8" s="48"/>
      <c r="E8" s="49"/>
      <c r="F8" s="49" t="s">
        <v>4</v>
      </c>
      <c r="G8" s="50"/>
      <c r="H8" s="50"/>
    </row>
    <row r="9" spans="1:8" ht="60.75" thickTop="1" x14ac:dyDescent="0.25">
      <c r="A9" s="17" t="s">
        <v>25</v>
      </c>
      <c r="B9" s="18" t="s">
        <v>7</v>
      </c>
      <c r="C9" s="19" t="s">
        <v>8</v>
      </c>
      <c r="D9" s="20" t="s">
        <v>9</v>
      </c>
      <c r="E9" s="18" t="s">
        <v>10</v>
      </c>
      <c r="F9" s="19" t="s">
        <v>8</v>
      </c>
      <c r="G9" s="20" t="s">
        <v>9</v>
      </c>
      <c r="H9" s="18" t="s">
        <v>10</v>
      </c>
    </row>
    <row r="10" spans="1:8" ht="15.75" thickBot="1" x14ac:dyDescent="0.3">
      <c r="A10" s="35">
        <f>VLOOKUP(C4,Hoteles!A4:B8,2,FALSE)</f>
        <v>3</v>
      </c>
      <c r="B10" s="35" t="str">
        <f>VLOOKUP(C4,Hoteles!A4:C8,3,FALSE)</f>
        <v>Calidad</v>
      </c>
      <c r="C10" s="36">
        <f>VLOOKUP(C4,Hoteles!A4:D8,4,FALSE)</f>
        <v>50.95</v>
      </c>
      <c r="D10" s="36">
        <f>VLOOKUP(C4,Hoteles!A4:E8,5,FALSE)</f>
        <v>10.6995</v>
      </c>
      <c r="E10" s="36">
        <f>VLOOKUP(C4,Hoteles!A4:F8,6,FALSE)</f>
        <v>61.649500000000003</v>
      </c>
      <c r="F10" s="36">
        <f>VLOOKUP(C4,Hoteles!A4:G8,7,FALSE)</f>
        <v>69.900000000000006</v>
      </c>
      <c r="G10" s="36">
        <f>VLOOKUP(C4,Hoteles!A4:H8,8,FALSE)</f>
        <v>14.679</v>
      </c>
      <c r="H10" s="36">
        <f>VLOOKUP(C4,Hoteles!A4:I8,9,FALSE)</f>
        <v>84.579000000000008</v>
      </c>
    </row>
    <row r="11" spans="1:8" ht="15.75" thickTop="1" x14ac:dyDescent="0.25"/>
    <row r="12" spans="1:8" x14ac:dyDescent="0.25">
      <c r="A12" s="56" t="s">
        <v>26</v>
      </c>
      <c r="B12" s="56"/>
      <c r="C12" s="56"/>
      <c r="D12" s="56"/>
      <c r="E12" s="56"/>
      <c r="F12" s="56"/>
      <c r="G12" s="56"/>
      <c r="H12" s="34">
        <v>0.21</v>
      </c>
    </row>
    <row r="14" spans="1:8" x14ac:dyDescent="0.25">
      <c r="A14" s="63" t="s">
        <v>27</v>
      </c>
      <c r="B14" s="63"/>
      <c r="C14" s="63"/>
      <c r="D14" s="63"/>
      <c r="E14" s="63"/>
      <c r="F14" s="63"/>
      <c r="G14" s="63"/>
      <c r="H14" s="63"/>
    </row>
    <row r="15" spans="1:8" x14ac:dyDescent="0.25">
      <c r="A15" s="63"/>
      <c r="B15" s="63"/>
      <c r="C15" s="63"/>
      <c r="D15" s="63"/>
      <c r="E15" s="63"/>
      <c r="F15" s="63"/>
      <c r="G15" s="63"/>
      <c r="H15" s="63"/>
    </row>
    <row r="17" spans="1:4" ht="15.75" thickBot="1" x14ac:dyDescent="0.3"/>
    <row r="18" spans="1:4" ht="15.75" thickTop="1" x14ac:dyDescent="0.25">
      <c r="A18" s="37" t="s">
        <v>28</v>
      </c>
      <c r="B18" s="38">
        <v>6</v>
      </c>
      <c r="C18" s="64">
        <f>B18*E10</f>
        <v>369.89700000000005</v>
      </c>
      <c r="D18" s="65"/>
    </row>
    <row r="19" spans="1:4" ht="15.75" thickBot="1" x14ac:dyDescent="0.3">
      <c r="A19" s="39" t="s">
        <v>29</v>
      </c>
      <c r="B19" s="40">
        <v>2</v>
      </c>
      <c r="C19" s="66">
        <f>B19*H10</f>
        <v>169.15800000000002</v>
      </c>
      <c r="D19" s="67"/>
    </row>
    <row r="20" spans="1:4" ht="15.75" thickTop="1" x14ac:dyDescent="0.25">
      <c r="C20" s="61">
        <f>C18+C19</f>
        <v>539.05500000000006</v>
      </c>
      <c r="D20" s="62"/>
    </row>
  </sheetData>
  <mergeCells count="9">
    <mergeCell ref="C20:D20"/>
    <mergeCell ref="A1:H2"/>
    <mergeCell ref="C4:H4"/>
    <mergeCell ref="C8:E8"/>
    <mergeCell ref="F8:H8"/>
    <mergeCell ref="A12:G12"/>
    <mergeCell ref="A14:H15"/>
    <mergeCell ref="C18:D18"/>
    <mergeCell ref="C19:D19"/>
  </mergeCells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Presentacion</vt:lpstr>
      <vt:lpstr>Hoteles</vt:lpstr>
      <vt:lpstr>Busquedas</vt:lpstr>
      <vt:lpstr>Presupuesto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smr1</dc:creator>
  <cp:lastModifiedBy>smr1</cp:lastModifiedBy>
  <dcterms:created xsi:type="dcterms:W3CDTF">2022-02-03T11:38:41Z</dcterms:created>
  <dcterms:modified xsi:type="dcterms:W3CDTF">2022-02-04T10:46:09Z</dcterms:modified>
</cp:coreProperties>
</file>