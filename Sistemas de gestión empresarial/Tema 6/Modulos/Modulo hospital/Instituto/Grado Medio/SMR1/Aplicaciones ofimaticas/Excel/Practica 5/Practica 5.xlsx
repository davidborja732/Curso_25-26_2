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5\"/>
    </mc:Choice>
  </mc:AlternateContent>
  <bookViews>
    <workbookView xWindow="0" yWindow="0" windowWidth="20490" windowHeight="7650" activeTab="3"/>
  </bookViews>
  <sheets>
    <sheet name="Ejercicio 1 " sheetId="1" r:id="rId1"/>
    <sheet name="Ejercicio 2" sheetId="2" r:id="rId2"/>
    <sheet name="Ejercicio 3" sheetId="3" r:id="rId3"/>
    <sheet name="Ejercicio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4" l="1"/>
  <c r="B9" i="4"/>
  <c r="B8" i="4"/>
  <c r="B7" i="4"/>
  <c r="B6" i="4"/>
  <c r="B5" i="4"/>
  <c r="B4" i="4"/>
  <c r="B8" i="3"/>
  <c r="B7" i="3"/>
  <c r="B6" i="3"/>
  <c r="B5" i="3"/>
  <c r="B4" i="3"/>
  <c r="B3" i="3"/>
  <c r="K17" i="2"/>
  <c r="K16" i="2"/>
  <c r="G17" i="2"/>
  <c r="G16" i="2"/>
  <c r="C16" i="2"/>
  <c r="K13" i="2"/>
  <c r="K12" i="2"/>
  <c r="K11" i="2"/>
  <c r="K5" i="2"/>
  <c r="K6" i="2"/>
  <c r="K7" i="2"/>
  <c r="K8" i="2"/>
  <c r="K4" i="2"/>
  <c r="J5" i="2"/>
  <c r="J6" i="2"/>
  <c r="J7" i="2"/>
  <c r="J8" i="2"/>
  <c r="J4" i="2"/>
  <c r="I5" i="2"/>
  <c r="I6" i="2"/>
  <c r="I7" i="2"/>
  <c r="I8" i="2"/>
  <c r="I4" i="2"/>
  <c r="B6" i="1"/>
  <c r="B5" i="1"/>
  <c r="B2" i="1" l="1"/>
  <c r="B1" i="1"/>
</calcChain>
</file>

<file path=xl/sharedStrings.xml><?xml version="1.0" encoding="utf-8"?>
<sst xmlns="http://schemas.openxmlformats.org/spreadsheetml/2006/main" count="60" uniqueCount="58">
  <si>
    <t>Fecha y horas actulaes</t>
  </si>
  <si>
    <t>Fecha de hoy</t>
  </si>
  <si>
    <t xml:space="preserve">Tu fecha de nacimiento </t>
  </si>
  <si>
    <t>¿Cuántos dias han pasado desde que naciste?</t>
  </si>
  <si>
    <t>¿Cuántos dias laborables han pasado desde que naciste?</t>
  </si>
  <si>
    <t xml:space="preserve"> 16-12-2003</t>
  </si>
  <si>
    <t xml:space="preserve">RESULTADOS DE VIAJES </t>
  </si>
  <si>
    <t>NOMBRE</t>
  </si>
  <si>
    <t>APELLIDO</t>
  </si>
  <si>
    <t>DEPARTAMENTO</t>
  </si>
  <si>
    <t>NÚMERO DE COBRO</t>
  </si>
  <si>
    <t>FECHA DE SALIDA</t>
  </si>
  <si>
    <t>HORA DE SALIDA</t>
  </si>
  <si>
    <t>FECHA DE LLEGADA</t>
  </si>
  <si>
    <t>HORA DE LLEGADA</t>
  </si>
  <si>
    <t>Juan</t>
  </si>
  <si>
    <t>Pérez Marqués</t>
  </si>
  <si>
    <t>Ventas</t>
  </si>
  <si>
    <t>Ana</t>
  </si>
  <si>
    <t>López Millán</t>
  </si>
  <si>
    <t>Dirección</t>
  </si>
  <si>
    <t>Manuel</t>
  </si>
  <si>
    <t>Gómez Teruel</t>
  </si>
  <si>
    <t>Técnico</t>
  </si>
  <si>
    <t>Antonio</t>
  </si>
  <si>
    <t>Escobar Martín</t>
  </si>
  <si>
    <t>Ester</t>
  </si>
  <si>
    <t>Fernández Grao</t>
  </si>
  <si>
    <t>Importe por día</t>
  </si>
  <si>
    <t>Importe por hora</t>
  </si>
  <si>
    <t>TOTAL DE DIAS</t>
  </si>
  <si>
    <t>TOTAL DE HORAS</t>
  </si>
  <si>
    <t>IMPORTE</t>
  </si>
  <si>
    <t xml:space="preserve">VIAJE MAS CARO </t>
  </si>
  <si>
    <t xml:space="preserve">VIAJE MAS BARATO </t>
  </si>
  <si>
    <t>MEDIA POR VIAJE</t>
  </si>
  <si>
    <t>MAS RESULTADOS</t>
  </si>
  <si>
    <t xml:space="preserve">Numero de viajes realizados por los empleados </t>
  </si>
  <si>
    <t>NUMERO DE VIAJES IGUALES O SUPERIORES A 1 DIA</t>
  </si>
  <si>
    <t>NUMERO DE VIAJES INFERIORES A 1 DIA</t>
  </si>
  <si>
    <t>NUMERO DE VIAJES CON IMPORTE IGUAL O SUPERIOR A 75 EUROS</t>
  </si>
  <si>
    <t>NUMERO DE VIAJES INFERIOR A 75 EUROS</t>
  </si>
  <si>
    <t>ESCRIBE UN NUMERO</t>
  </si>
  <si>
    <t>Raiz cuadrada</t>
  </si>
  <si>
    <t>Numero romano</t>
  </si>
  <si>
    <t>Redondeo al impar mas proximo</t>
  </si>
  <si>
    <t>Redondeo al par mas proximo</t>
  </si>
  <si>
    <t>Elevado a 2</t>
  </si>
  <si>
    <t xml:space="preserve">Signo del numero </t>
  </si>
  <si>
    <t xml:space="preserve">ESCRIBE UN NUMERO </t>
  </si>
  <si>
    <t xml:space="preserve">ESCRIBE OTRO NUMERO MAS PEQUEÑO </t>
  </si>
  <si>
    <t xml:space="preserve">Division entre el primer y el segundo numero </t>
  </si>
  <si>
    <t xml:space="preserve">Parte entera del cociente de dividir el primero entre el segundo </t>
  </si>
  <si>
    <t>Resto de la divison del primero entre el segundo</t>
  </si>
  <si>
    <t xml:space="preserve">Suma dos los primero numeros </t>
  </si>
  <si>
    <t xml:space="preserve">Producto de dos numeros sin usar funcion </t>
  </si>
  <si>
    <t>Un numero al azar que esta entre los dos numeros</t>
  </si>
  <si>
    <t xml:space="preserve">Un numero aleatrio entre 0 y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</si>
</sst>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[$-F800]dddd\,\ mmmm\ dd\,\ yyyy"/>
    <numFmt numFmtId="166" formatCode="d\-m\-yy\ h:mm;@"/>
    <numFmt numFmtId="167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165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0" borderId="9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10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1" fillId="0" borderId="11" xfId="0" applyNumberFormat="1" applyFont="1" applyBorder="1"/>
    <xf numFmtId="0" fontId="1" fillId="2" borderId="6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/>
    <xf numFmtId="0" fontId="0" fillId="4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6" xfId="0" applyBorder="1"/>
    <xf numFmtId="0" fontId="0" fillId="0" borderId="15" xfId="0" applyBorder="1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baseColWidth="10" defaultRowHeight="15" x14ac:dyDescent="0.25"/>
  <cols>
    <col min="1" max="1" width="51.7109375" bestFit="1" customWidth="1"/>
    <col min="2" max="2" width="26.5703125" bestFit="1" customWidth="1"/>
  </cols>
  <sheetData>
    <row r="1" spans="1:2" x14ac:dyDescent="0.25">
      <c r="A1" t="s">
        <v>1</v>
      </c>
      <c r="B1" s="1">
        <f ca="1">TODAY()</f>
        <v>44600</v>
      </c>
    </row>
    <row r="2" spans="1:2" x14ac:dyDescent="0.25">
      <c r="A2" t="s">
        <v>0</v>
      </c>
      <c r="B2" s="2">
        <f ca="1">TODAY()</f>
        <v>44600</v>
      </c>
    </row>
    <row r="4" spans="1:2" x14ac:dyDescent="0.25">
      <c r="A4" t="s">
        <v>2</v>
      </c>
      <c r="B4" s="3" t="s">
        <v>5</v>
      </c>
    </row>
    <row r="5" spans="1:2" x14ac:dyDescent="0.25">
      <c r="A5" t="s">
        <v>3</v>
      </c>
      <c r="B5">
        <f ca="1">DAYS360(DATE(2003,12,16),TODAY())</f>
        <v>6532</v>
      </c>
    </row>
    <row r="6" spans="1:2" x14ac:dyDescent="0.25">
      <c r="A6" t="s">
        <v>4</v>
      </c>
      <c r="B6">
        <f ca="1">NETWORKDAYS(DATE(2003,12,16),TODAY())</f>
        <v>4736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F1" workbookViewId="0">
      <selection activeCell="K17" sqref="K17"/>
    </sheetView>
  </sheetViews>
  <sheetFormatPr baseColWidth="10" defaultRowHeight="15" x14ac:dyDescent="0.25"/>
  <cols>
    <col min="1" max="1" width="12.7109375" customWidth="1"/>
    <col min="2" max="2" width="16.140625" bestFit="1" customWidth="1"/>
    <col min="3" max="3" width="15.7109375" bestFit="1" customWidth="1"/>
    <col min="4" max="4" width="18.5703125" bestFit="1" customWidth="1"/>
    <col min="5" max="5" width="16.28515625" bestFit="1" customWidth="1"/>
    <col min="6" max="6" width="15.5703125" bestFit="1" customWidth="1"/>
    <col min="7" max="7" width="17.85546875" bestFit="1" customWidth="1"/>
    <col min="8" max="8" width="17.28515625" bestFit="1" customWidth="1"/>
    <col min="9" max="9" width="11.85546875" bestFit="1" customWidth="1"/>
    <col min="10" max="10" width="14.5703125" bestFit="1" customWidth="1"/>
    <col min="11" max="11" width="11.85546875" bestFit="1" customWidth="1"/>
  </cols>
  <sheetData>
    <row r="1" spans="1:11" x14ac:dyDescent="0.25">
      <c r="A1" s="4" t="s">
        <v>6</v>
      </c>
      <c r="B1" s="4"/>
      <c r="C1" s="4"/>
    </row>
    <row r="2" spans="1:11" ht="15.75" thickBot="1" x14ac:dyDescent="0.3"/>
    <row r="3" spans="1:11" ht="30.75" thickBot="1" x14ac:dyDescent="0.3">
      <c r="A3" s="7" t="s">
        <v>7</v>
      </c>
      <c r="B3" s="8" t="s">
        <v>8</v>
      </c>
      <c r="C3" s="9" t="s">
        <v>9</v>
      </c>
      <c r="D3" s="9" t="s">
        <v>10</v>
      </c>
      <c r="E3" s="7" t="s">
        <v>11</v>
      </c>
      <c r="F3" s="8" t="s">
        <v>12</v>
      </c>
      <c r="G3" s="7" t="s">
        <v>13</v>
      </c>
      <c r="H3" s="8" t="s">
        <v>14</v>
      </c>
      <c r="I3" s="10" t="s">
        <v>30</v>
      </c>
      <c r="J3" s="10" t="s">
        <v>31</v>
      </c>
      <c r="K3" s="9" t="s">
        <v>32</v>
      </c>
    </row>
    <row r="4" spans="1:11" x14ac:dyDescent="0.25">
      <c r="A4" s="11" t="s">
        <v>15</v>
      </c>
      <c r="B4" s="12" t="s">
        <v>16</v>
      </c>
      <c r="C4" s="13" t="s">
        <v>17</v>
      </c>
      <c r="D4" s="13">
        <v>1101</v>
      </c>
      <c r="E4" s="14">
        <v>40920</v>
      </c>
      <c r="F4" s="12">
        <v>15</v>
      </c>
      <c r="G4" s="14">
        <v>40921</v>
      </c>
      <c r="H4" s="12">
        <v>12</v>
      </c>
      <c r="I4" s="42">
        <f>DAYS360(E4,G4)</f>
        <v>1</v>
      </c>
      <c r="J4" s="42" t="str">
        <f>IF(I4&gt;0,"VIAJE POR DIAS",H4-F4)</f>
        <v>VIAJE POR DIAS</v>
      </c>
      <c r="K4" s="43">
        <f>IF(I4&gt;=1,$C$11*I4,J4*$C$12)</f>
        <v>90</v>
      </c>
    </row>
    <row r="5" spans="1:11" x14ac:dyDescent="0.25">
      <c r="A5" s="11" t="s">
        <v>18</v>
      </c>
      <c r="B5" s="12" t="s">
        <v>19</v>
      </c>
      <c r="C5" s="13" t="s">
        <v>20</v>
      </c>
      <c r="D5" s="13">
        <v>1102</v>
      </c>
      <c r="E5" s="14">
        <v>40921</v>
      </c>
      <c r="F5" s="12">
        <v>16</v>
      </c>
      <c r="G5" s="14">
        <v>40921</v>
      </c>
      <c r="H5" s="12">
        <v>20</v>
      </c>
      <c r="I5" s="13">
        <f t="shared" ref="I5:I8" si="0">DAYS360(E5,G5)</f>
        <v>0</v>
      </c>
      <c r="J5" s="13">
        <f t="shared" ref="J5:J8" si="1">IF(I5&gt;0,"VIAJE POR DIAS",H5-F5)</f>
        <v>4</v>
      </c>
      <c r="K5" s="15">
        <f t="shared" ref="K5:K8" si="2">IF(I5&gt;=1,$C$11*I5,J5*$C$12)</f>
        <v>60</v>
      </c>
    </row>
    <row r="6" spans="1:11" x14ac:dyDescent="0.25">
      <c r="A6" s="11" t="s">
        <v>21</v>
      </c>
      <c r="B6" s="12" t="s">
        <v>22</v>
      </c>
      <c r="C6" s="13" t="s">
        <v>23</v>
      </c>
      <c r="D6" s="13">
        <v>1103</v>
      </c>
      <c r="E6" s="14">
        <v>40921</v>
      </c>
      <c r="F6" s="12">
        <v>18</v>
      </c>
      <c r="G6" s="14">
        <v>40923</v>
      </c>
      <c r="H6" s="12">
        <v>13</v>
      </c>
      <c r="I6" s="13">
        <f t="shared" si="0"/>
        <v>2</v>
      </c>
      <c r="J6" s="13" t="str">
        <f t="shared" si="1"/>
        <v>VIAJE POR DIAS</v>
      </c>
      <c r="K6" s="15">
        <f t="shared" si="2"/>
        <v>180</v>
      </c>
    </row>
    <row r="7" spans="1:11" x14ac:dyDescent="0.25">
      <c r="A7" s="11" t="s">
        <v>24</v>
      </c>
      <c r="B7" s="12" t="s">
        <v>25</v>
      </c>
      <c r="C7" s="13" t="s">
        <v>23</v>
      </c>
      <c r="D7" s="13">
        <v>1104</v>
      </c>
      <c r="E7" s="14">
        <v>40922</v>
      </c>
      <c r="F7" s="12">
        <v>12</v>
      </c>
      <c r="G7" s="14">
        <v>40923</v>
      </c>
      <c r="H7" s="12">
        <v>12</v>
      </c>
      <c r="I7" s="13">
        <f t="shared" si="0"/>
        <v>1</v>
      </c>
      <c r="J7" s="13" t="str">
        <f t="shared" si="1"/>
        <v>VIAJE POR DIAS</v>
      </c>
      <c r="K7" s="15">
        <f t="shared" si="2"/>
        <v>90</v>
      </c>
    </row>
    <row r="8" spans="1:11" ht="15.75" thickBot="1" x14ac:dyDescent="0.3">
      <c r="A8" s="16" t="s">
        <v>26</v>
      </c>
      <c r="B8" s="17" t="s">
        <v>27</v>
      </c>
      <c r="C8" s="18" t="s">
        <v>20</v>
      </c>
      <c r="D8" s="18">
        <v>1105</v>
      </c>
      <c r="E8" s="19">
        <v>40923</v>
      </c>
      <c r="F8" s="17">
        <v>13</v>
      </c>
      <c r="G8" s="19">
        <v>40923</v>
      </c>
      <c r="H8" s="17">
        <v>19</v>
      </c>
      <c r="I8" s="18">
        <f t="shared" si="0"/>
        <v>0</v>
      </c>
      <c r="J8" s="18">
        <f t="shared" si="1"/>
        <v>6</v>
      </c>
      <c r="K8" s="44">
        <f t="shared" si="2"/>
        <v>90</v>
      </c>
    </row>
    <row r="10" spans="1:11" ht="15.75" thickBot="1" x14ac:dyDescent="0.3"/>
    <row r="11" spans="1:11" x14ac:dyDescent="0.25">
      <c r="B11" s="29" t="s">
        <v>28</v>
      </c>
      <c r="C11" s="30">
        <v>90</v>
      </c>
      <c r="I11" s="20" t="s">
        <v>33</v>
      </c>
      <c r="J11" s="21"/>
      <c r="K11" s="22">
        <f>MAX(K4:K8)</f>
        <v>180</v>
      </c>
    </row>
    <row r="12" spans="1:11" ht="15.75" thickBot="1" x14ac:dyDescent="0.3">
      <c r="B12" s="31" t="s">
        <v>29</v>
      </c>
      <c r="C12" s="32">
        <v>15</v>
      </c>
      <c r="I12" s="23" t="s">
        <v>34</v>
      </c>
      <c r="J12" s="24"/>
      <c r="K12" s="25">
        <f>MIN(K4:K8)</f>
        <v>60</v>
      </c>
    </row>
    <row r="13" spans="1:11" ht="15.75" thickBot="1" x14ac:dyDescent="0.3">
      <c r="I13" s="26" t="s">
        <v>35</v>
      </c>
      <c r="J13" s="27"/>
      <c r="K13" s="28">
        <f>AVERAGE(K4:K8)</f>
        <v>102</v>
      </c>
    </row>
    <row r="14" spans="1:11" x14ac:dyDescent="0.25">
      <c r="A14" s="4" t="s">
        <v>36</v>
      </c>
      <c r="B14" s="4"/>
      <c r="C14" s="4"/>
    </row>
    <row r="16" spans="1:11" ht="29.25" customHeight="1" x14ac:dyDescent="0.25">
      <c r="A16" s="5" t="s">
        <v>37</v>
      </c>
      <c r="B16" s="5"/>
      <c r="C16" s="6">
        <f>COUNTA(A4:A8)</f>
        <v>5</v>
      </c>
      <c r="E16" s="33" t="s">
        <v>38</v>
      </c>
      <c r="F16" s="33"/>
      <c r="G16" s="35">
        <f>COUNTIF(I4:I8,"&gt;=1")</f>
        <v>3</v>
      </c>
      <c r="I16" s="38" t="s">
        <v>41</v>
      </c>
      <c r="J16" s="38"/>
      <c r="K16" s="40">
        <f>COUNTIF(K4:K8,"&lt;75")</f>
        <v>1</v>
      </c>
    </row>
    <row r="17" spans="5:11" ht="33" customHeight="1" x14ac:dyDescent="0.25">
      <c r="E17" s="34" t="s">
        <v>39</v>
      </c>
      <c r="F17" s="34"/>
      <c r="G17" s="36">
        <f>COUNTIF(I4:I8,"&lt;1")</f>
        <v>2</v>
      </c>
      <c r="I17" s="39" t="s">
        <v>40</v>
      </c>
      <c r="J17" s="39"/>
      <c r="K17" s="41">
        <f>COUNTIF(K4:K8,"&gt;=75")</f>
        <v>4</v>
      </c>
    </row>
  </sheetData>
  <mergeCells count="10">
    <mergeCell ref="E17:F17"/>
    <mergeCell ref="I16:J16"/>
    <mergeCell ref="I17:J17"/>
    <mergeCell ref="A1:C1"/>
    <mergeCell ref="I11:J11"/>
    <mergeCell ref="I12:J12"/>
    <mergeCell ref="I13:J13"/>
    <mergeCell ref="A14:C14"/>
    <mergeCell ref="A16:B16"/>
    <mergeCell ref="E16:F16"/>
  </mergeCells>
  <conditionalFormatting sqref="K4:K8">
    <cfRule type="cellIs" dxfId="0" priority="3" operator="greaterThan">
      <formula>75</formula>
    </cfRule>
    <cfRule type="cellIs" dxfId="1" priority="2" operator="equal">
      <formula>75</formula>
    </cfRule>
    <cfRule type="cellIs" dxfId="2" priority="1" operator="lessThan">
      <formula>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baseColWidth="10" defaultRowHeight="15" x14ac:dyDescent="0.25"/>
  <cols>
    <col min="1" max="1" width="30" bestFit="1" customWidth="1"/>
    <col min="2" max="2" width="11.85546875" bestFit="1" customWidth="1"/>
  </cols>
  <sheetData>
    <row r="1" spans="1:2" ht="23.25" x14ac:dyDescent="0.35">
      <c r="A1" t="s">
        <v>42</v>
      </c>
      <c r="B1" s="45">
        <v>37</v>
      </c>
    </row>
    <row r="3" spans="1:2" x14ac:dyDescent="0.25">
      <c r="A3" t="s">
        <v>43</v>
      </c>
      <c r="B3" s="46">
        <f>SQRT(B1)</f>
        <v>6.0827625302982193</v>
      </c>
    </row>
    <row r="4" spans="1:2" x14ac:dyDescent="0.25">
      <c r="A4" t="s">
        <v>44</v>
      </c>
      <c r="B4" s="46" t="str">
        <f>ROMAN(B1)</f>
        <v>XXXVII</v>
      </c>
    </row>
    <row r="5" spans="1:2" x14ac:dyDescent="0.25">
      <c r="A5" t="s">
        <v>45</v>
      </c>
      <c r="B5" s="46">
        <f>ODD(B1)</f>
        <v>37</v>
      </c>
    </row>
    <row r="6" spans="1:2" x14ac:dyDescent="0.25">
      <c r="A6" t="s">
        <v>46</v>
      </c>
      <c r="B6" s="46">
        <f>EVEN(B1)</f>
        <v>38</v>
      </c>
    </row>
    <row r="7" spans="1:2" x14ac:dyDescent="0.25">
      <c r="A7" t="s">
        <v>47</v>
      </c>
      <c r="B7" s="46">
        <f>POWER(B1,2)</f>
        <v>1369</v>
      </c>
    </row>
    <row r="8" spans="1:2" x14ac:dyDescent="0.25">
      <c r="A8" t="s">
        <v>48</v>
      </c>
      <c r="B8" s="46">
        <f>SIGN(B1)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3" sqref="D3"/>
    </sheetView>
  </sheetViews>
  <sheetFormatPr baseColWidth="10" defaultRowHeight="15" x14ac:dyDescent="0.25"/>
  <cols>
    <col min="1" max="1" width="59" bestFit="1" customWidth="1"/>
    <col min="2" max="2" width="11.85546875" bestFit="1" customWidth="1"/>
  </cols>
  <sheetData>
    <row r="1" spans="1:2" ht="15.75" thickBot="1" x14ac:dyDescent="0.3">
      <c r="A1" s="37" t="s">
        <v>49</v>
      </c>
      <c r="B1" s="47">
        <v>16</v>
      </c>
    </row>
    <row r="2" spans="1:2" ht="15.75" thickBot="1" x14ac:dyDescent="0.3">
      <c r="A2" s="37" t="s">
        <v>50</v>
      </c>
      <c r="B2" s="48">
        <v>5</v>
      </c>
    </row>
    <row r="4" spans="1:2" x14ac:dyDescent="0.25">
      <c r="A4" t="s">
        <v>51</v>
      </c>
      <c r="B4">
        <f>B1/B2</f>
        <v>3.2</v>
      </c>
    </row>
    <row r="5" spans="1:2" x14ac:dyDescent="0.25">
      <c r="A5" t="s">
        <v>52</v>
      </c>
      <c r="B5">
        <f>QUOTIENT(B1,B2)</f>
        <v>3</v>
      </c>
    </row>
    <row r="6" spans="1:2" x14ac:dyDescent="0.25">
      <c r="A6" t="s">
        <v>53</v>
      </c>
      <c r="B6">
        <f>MOD(B1,B2)</f>
        <v>1</v>
      </c>
    </row>
    <row r="7" spans="1:2" x14ac:dyDescent="0.25">
      <c r="A7" t="s">
        <v>54</v>
      </c>
      <c r="B7">
        <f>SUM(B1,B2)</f>
        <v>21</v>
      </c>
    </row>
    <row r="8" spans="1:2" x14ac:dyDescent="0.25">
      <c r="A8" t="s">
        <v>55</v>
      </c>
      <c r="B8">
        <f>B1*B2</f>
        <v>80</v>
      </c>
    </row>
    <row r="9" spans="1:2" x14ac:dyDescent="0.25">
      <c r="A9" t="s">
        <v>56</v>
      </c>
      <c r="B9">
        <f ca="1">RANDBETWEEN(B2,B1)</f>
        <v>9</v>
      </c>
    </row>
    <row r="10" spans="1:2" x14ac:dyDescent="0.25">
      <c r="A10" t="s">
        <v>57</v>
      </c>
      <c r="B10">
        <f ca="1">RAND()</f>
        <v>0.32470253819117756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 </vt:lpstr>
      <vt:lpstr>Ejercicio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2022-02-08T06:41:54Z</dcterms:created>
  <dcterms:modified xsi:type="dcterms:W3CDTF">2022-02-08T07:55:35Z</dcterms:modified>
</cp:coreProperties>
</file>