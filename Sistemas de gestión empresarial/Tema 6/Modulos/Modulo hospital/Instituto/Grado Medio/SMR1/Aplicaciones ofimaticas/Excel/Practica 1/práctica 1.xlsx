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plicaciones ofimaticas\Excel\Practica 1\"/>
    </mc:Choice>
  </mc:AlternateContent>
  <bookViews>
    <workbookView xWindow="0" yWindow="0" windowWidth="20490" windowHeight="7650"/>
  </bookViews>
  <sheets>
    <sheet name="Compras " sheetId="1" r:id="rId1"/>
    <sheet name="Ventas" sheetId="2" r:id="rId2"/>
    <sheet name="Resultados" sheetId="4" r:id="rId3"/>
    <sheet name="Ejercicio 2 " sheetId="6" r:id="rId4"/>
    <sheet name="Ejercicio 3" sheetId="7" r:id="rId5"/>
    <sheet name="Ejercicio 4" sheetId="11" r:id="rId6"/>
    <sheet name="Ejercicio 5" sheetId="10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C25" i="11"/>
  <c r="N10" i="6" l="1"/>
  <c r="N9" i="6"/>
  <c r="N8" i="6"/>
  <c r="N7" i="6"/>
  <c r="H10" i="6"/>
  <c r="H9" i="6"/>
  <c r="H8" i="6"/>
  <c r="D10" i="6"/>
  <c r="E10" i="6"/>
  <c r="F10" i="6"/>
  <c r="G10" i="6"/>
  <c r="I10" i="6"/>
  <c r="J10" i="6"/>
  <c r="K10" i="6"/>
  <c r="L10" i="6"/>
  <c r="M10" i="6"/>
  <c r="C10" i="6"/>
  <c r="D9" i="6"/>
  <c r="E9" i="6"/>
  <c r="F9" i="6"/>
  <c r="G9" i="6"/>
  <c r="I9" i="6"/>
  <c r="J9" i="6"/>
  <c r="K9" i="6"/>
  <c r="L9" i="6"/>
  <c r="M9" i="6"/>
  <c r="C9" i="6"/>
  <c r="D8" i="6"/>
  <c r="E8" i="6"/>
  <c r="F8" i="6"/>
  <c r="G8" i="6"/>
  <c r="I8" i="6"/>
  <c r="J8" i="6"/>
  <c r="K8" i="6"/>
  <c r="L8" i="6"/>
  <c r="M8" i="6"/>
  <c r="C8" i="6"/>
  <c r="H7" i="6"/>
  <c r="I7" i="6"/>
  <c r="J7" i="6"/>
  <c r="K7" i="6"/>
  <c r="L7" i="6"/>
  <c r="M7" i="6"/>
  <c r="D7" i="6"/>
  <c r="E7" i="6"/>
  <c r="F7" i="6"/>
  <c r="G7" i="6"/>
  <c r="C7" i="6"/>
  <c r="C25" i="7"/>
  <c r="C26" i="7"/>
  <c r="C5" i="10" l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4" i="10"/>
  <c r="C3" i="10"/>
  <c r="H25" i="11"/>
  <c r="G25" i="11"/>
  <c r="F25" i="11"/>
  <c r="E25" i="11"/>
  <c r="D25" i="11"/>
  <c r="H24" i="11"/>
  <c r="H26" i="11" s="1"/>
  <c r="G24" i="11"/>
  <c r="G26" i="11" s="1"/>
  <c r="F24" i="11"/>
  <c r="F26" i="11" s="1"/>
  <c r="E24" i="11"/>
  <c r="E26" i="11" s="1"/>
  <c r="D24" i="11"/>
  <c r="D26" i="11" s="1"/>
  <c r="C24" i="11"/>
  <c r="C26" i="11" s="1"/>
  <c r="D24" i="7"/>
  <c r="D26" i="7" s="1"/>
  <c r="E24" i="7"/>
  <c r="E26" i="7" s="1"/>
  <c r="F24" i="7"/>
  <c r="G24" i="7"/>
  <c r="G26" i="7" s="1"/>
  <c r="H24" i="7"/>
  <c r="C24" i="7"/>
  <c r="H26" i="7"/>
  <c r="D25" i="7"/>
  <c r="E25" i="7"/>
  <c r="F25" i="7"/>
  <c r="G25" i="7"/>
  <c r="H25" i="7"/>
  <c r="F26" i="7"/>
  <c r="O8" i="6"/>
  <c r="O9" i="6"/>
  <c r="O10" i="6"/>
  <c r="O7" i="6"/>
  <c r="F5" i="4"/>
  <c r="F6" i="4"/>
  <c r="F7" i="4"/>
  <c r="F4" i="4"/>
  <c r="E7" i="4"/>
  <c r="E5" i="4"/>
  <c r="E6" i="4"/>
  <c r="E4" i="4"/>
  <c r="E4" i="2"/>
  <c r="D5" i="4"/>
  <c r="D6" i="4"/>
  <c r="D7" i="4"/>
  <c r="D4" i="4"/>
  <c r="F4" i="2"/>
  <c r="F5" i="2"/>
  <c r="F6" i="2"/>
  <c r="F3" i="2"/>
  <c r="E5" i="2"/>
  <c r="E6" i="2"/>
  <c r="F4" i="1"/>
  <c r="F5" i="1"/>
  <c r="F6" i="1"/>
  <c r="F3" i="1"/>
  <c r="E4" i="1"/>
  <c r="E5" i="1"/>
  <c r="E6" i="1"/>
  <c r="E3" i="1"/>
  <c r="O11" i="6" l="1"/>
</calcChain>
</file>

<file path=xl/sharedStrings.xml><?xml version="1.0" encoding="utf-8"?>
<sst xmlns="http://schemas.openxmlformats.org/spreadsheetml/2006/main" count="77" uniqueCount="46">
  <si>
    <t>COMPRAS ANUALES</t>
  </si>
  <si>
    <t>TRIMESTRES</t>
  </si>
  <si>
    <t>B.IMPONIBLE</t>
  </si>
  <si>
    <t>IVA</t>
  </si>
  <si>
    <t>TOTAL</t>
  </si>
  <si>
    <t>Primero</t>
  </si>
  <si>
    <t>Segundo</t>
  </si>
  <si>
    <t>Tercero</t>
  </si>
  <si>
    <t>Cuarto</t>
  </si>
  <si>
    <t>VENTAS ANUALES</t>
  </si>
  <si>
    <t>TOTAL COMPRAS</t>
  </si>
  <si>
    <t>TOTAL VENTAS</t>
  </si>
  <si>
    <t>EXISTENCIAS</t>
  </si>
  <si>
    <t>RESULTADO ANUALES</t>
  </si>
  <si>
    <t>CATEGORIA</t>
  </si>
  <si>
    <t>EMPLEADOS</t>
  </si>
  <si>
    <t>BASE</t>
  </si>
  <si>
    <t>COMPLEMENTOS</t>
  </si>
  <si>
    <t>A</t>
  </si>
  <si>
    <t>B</t>
  </si>
  <si>
    <t>C</t>
  </si>
  <si>
    <t>D</t>
  </si>
  <si>
    <t>TOTAL ENTRE TODAS LAS CATEGORIAS</t>
  </si>
  <si>
    <t>ENERO</t>
  </si>
  <si>
    <t>FEBRERO</t>
  </si>
  <si>
    <t>DICIEMBRE</t>
  </si>
  <si>
    <t>Aprobados</t>
  </si>
  <si>
    <t>Suspendidos</t>
  </si>
  <si>
    <t>% Aprobados</t>
  </si>
  <si>
    <t>% Suspendidos</t>
  </si>
  <si>
    <t>MATEMATICAS</t>
  </si>
  <si>
    <t>LENGUA</t>
  </si>
  <si>
    <t>HISTORIA</t>
  </si>
  <si>
    <t>FILOSOFIA</t>
  </si>
  <si>
    <t>INGLES</t>
  </si>
  <si>
    <t>TECNOLOGIA</t>
  </si>
  <si>
    <t>MATRICULAS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</si>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</sst>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164" fontId="0" fillId="0" borderId="0" xfId="0" applyNumberFormat="1"/>
    <xf numFmtId="9" fontId="0" fillId="0" borderId="0" xfId="0" applyNumberFormat="1"/>
    <xf numFmtId="0" fontId="0" fillId="3" borderId="0" xfId="0" applyFill="1"/>
    <xf numFmtId="0" fontId="0" fillId="0" borderId="0" xfId="0" applyBorder="1"/>
    <xf numFmtId="164" fontId="0" fillId="0" borderId="0" xfId="0" applyNumberFormat="1" applyBorder="1"/>
    <xf numFmtId="0" fontId="0" fillId="0" borderId="7" xfId="0" applyBorder="1"/>
    <xf numFmtId="0" fontId="0" fillId="5" borderId="1" xfId="0" applyFill="1" applyBorder="1"/>
    <xf numFmtId="164" fontId="0" fillId="0" borderId="5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0" borderId="4" xfId="0" applyFont="1" applyBorder="1"/>
    <xf numFmtId="0" fontId="1" fillId="5" borderId="1" xfId="0" applyFont="1" applyFill="1" applyBorder="1"/>
    <xf numFmtId="0" fontId="1" fillId="0" borderId="6" xfId="0" applyFont="1" applyBorder="1"/>
    <xf numFmtId="0" fontId="0" fillId="6" borderId="9" xfId="0" applyFill="1" applyBorder="1"/>
    <xf numFmtId="0" fontId="0" fillId="0" borderId="11" xfId="0" applyBorder="1"/>
    <xf numFmtId="0" fontId="0" fillId="7" borderId="10" xfId="0" applyFill="1" applyBorder="1"/>
    <xf numFmtId="10" fontId="0" fillId="0" borderId="0" xfId="0" applyNumberFormat="1"/>
    <xf numFmtId="0" fontId="1" fillId="0" borderId="0" xfId="0" applyFont="1" applyBorder="1"/>
    <xf numFmtId="0" fontId="1" fillId="0" borderId="0" xfId="0" applyFont="1" applyFill="1" applyBorder="1"/>
    <xf numFmtId="0" fontId="1" fillId="0" borderId="4" xfId="0" applyFont="1" applyFill="1" applyBorder="1"/>
    <xf numFmtId="0" fontId="0" fillId="0" borderId="0" xfId="0" applyFill="1" applyBorder="1"/>
    <xf numFmtId="164" fontId="0" fillId="0" borderId="0" xfId="0" applyNumberFormat="1" applyFill="1" applyBorder="1"/>
    <xf numFmtId="0" fontId="0" fillId="2" borderId="0" xfId="0" applyFill="1" applyAlignment="1">
      <alignment horizontal="center" textRotation="90" wrapText="1"/>
    </xf>
    <xf numFmtId="0" fontId="0" fillId="3" borderId="0" xfId="0" applyFill="1" applyAlignment="1">
      <alignment horizontal="center" textRotation="90" wrapText="1"/>
    </xf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"/>
  <sheetViews>
    <sheetView tabSelected="1" workbookViewId="0">
      <selection activeCell="G11" sqref="G11"/>
    </sheetView>
  </sheetViews>
  <sheetFormatPr baseColWidth="10" defaultRowHeight="15" x14ac:dyDescent="0.25"/>
  <sheetData>
    <row r="2" spans="2:8" x14ac:dyDescent="0.25">
      <c r="B2" s="26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8" x14ac:dyDescent="0.25">
      <c r="B3" s="26"/>
      <c r="C3" t="s">
        <v>5</v>
      </c>
      <c r="D3" s="2">
        <v>12500</v>
      </c>
      <c r="E3" s="2">
        <f>D3*H$4</f>
        <v>2625</v>
      </c>
      <c r="F3" s="2">
        <f>SUM(D3:E3)</f>
        <v>15125</v>
      </c>
      <c r="H3" s="1" t="s">
        <v>3</v>
      </c>
    </row>
    <row r="4" spans="2:8" x14ac:dyDescent="0.25">
      <c r="B4" s="26"/>
      <c r="C4" t="s">
        <v>6</v>
      </c>
      <c r="D4" s="2">
        <v>14100</v>
      </c>
      <c r="E4" s="2">
        <f t="shared" ref="E4:E6" si="0">D4*H$4</f>
        <v>2961</v>
      </c>
      <c r="F4" s="2">
        <f t="shared" ref="F4:F6" si="1">SUM(D4:E4)</f>
        <v>17061</v>
      </c>
      <c r="H4" s="3">
        <v>0.21</v>
      </c>
    </row>
    <row r="5" spans="2:8" x14ac:dyDescent="0.25">
      <c r="B5" s="26"/>
      <c r="C5" t="s">
        <v>7</v>
      </c>
      <c r="D5" s="2">
        <v>12169</v>
      </c>
      <c r="E5" s="2">
        <f t="shared" si="0"/>
        <v>2555.4899999999998</v>
      </c>
      <c r="F5" s="2">
        <f t="shared" si="1"/>
        <v>14724.49</v>
      </c>
    </row>
    <row r="6" spans="2:8" x14ac:dyDescent="0.25">
      <c r="B6" s="26"/>
      <c r="C6" t="s">
        <v>8</v>
      </c>
      <c r="D6" s="2">
        <v>13584</v>
      </c>
      <c r="E6" s="2">
        <f t="shared" si="0"/>
        <v>2852.64</v>
      </c>
      <c r="F6" s="2">
        <f t="shared" si="1"/>
        <v>16436.64</v>
      </c>
    </row>
  </sheetData>
  <mergeCells count="1">
    <mergeCell ref="B2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"/>
  <sheetViews>
    <sheetView workbookViewId="0">
      <selection activeCell="E4" sqref="E4"/>
    </sheetView>
  </sheetViews>
  <sheetFormatPr baseColWidth="10" defaultRowHeight="15" x14ac:dyDescent="0.25"/>
  <cols>
    <col min="4" max="4" width="12.5703125" bestFit="1" customWidth="1"/>
  </cols>
  <sheetData>
    <row r="2" spans="2:8" x14ac:dyDescent="0.25">
      <c r="B2" s="27" t="s">
        <v>9</v>
      </c>
      <c r="C2" s="4" t="s">
        <v>1</v>
      </c>
      <c r="D2" s="4" t="s">
        <v>2</v>
      </c>
      <c r="E2" s="4" t="s">
        <v>3</v>
      </c>
      <c r="F2" s="4" t="s">
        <v>4</v>
      </c>
    </row>
    <row r="3" spans="2:8" x14ac:dyDescent="0.25">
      <c r="B3" s="27"/>
      <c r="C3" t="s">
        <v>5</v>
      </c>
      <c r="D3" s="2">
        <v>10800</v>
      </c>
      <c r="E3" s="2">
        <f>D3*H$5</f>
        <v>2268</v>
      </c>
      <c r="F3" s="2">
        <f>SUM(D3:E3)</f>
        <v>13068</v>
      </c>
    </row>
    <row r="4" spans="2:8" x14ac:dyDescent="0.25">
      <c r="B4" s="27"/>
      <c r="C4" t="s">
        <v>6</v>
      </c>
      <c r="D4" s="2">
        <v>9520</v>
      </c>
      <c r="E4" s="2">
        <f t="shared" ref="E4:E6" si="0">D4*H$5</f>
        <v>1999.1999999999998</v>
      </c>
      <c r="F4" s="2">
        <f t="shared" ref="F4:F6" si="1">SUM(D4:E4)</f>
        <v>11519.2</v>
      </c>
      <c r="H4" s="4" t="s">
        <v>3</v>
      </c>
    </row>
    <row r="5" spans="2:8" x14ac:dyDescent="0.25">
      <c r="B5" s="27"/>
      <c r="C5" t="s">
        <v>7</v>
      </c>
      <c r="D5" s="2">
        <v>11681</v>
      </c>
      <c r="E5" s="2">
        <f t="shared" si="0"/>
        <v>2453.0099999999998</v>
      </c>
      <c r="F5" s="2">
        <f t="shared" si="1"/>
        <v>14134.01</v>
      </c>
      <c r="H5" s="3">
        <v>0.21</v>
      </c>
    </row>
    <row r="6" spans="2:8" x14ac:dyDescent="0.25">
      <c r="B6" s="27"/>
      <c r="C6" t="s">
        <v>8</v>
      </c>
      <c r="D6" s="2">
        <v>10760</v>
      </c>
      <c r="E6" s="2">
        <f t="shared" si="0"/>
        <v>2259.6</v>
      </c>
      <c r="F6" s="2">
        <f t="shared" si="1"/>
        <v>13019.6</v>
      </c>
    </row>
  </sheetData>
  <mergeCells count="1">
    <mergeCell ref="B2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7"/>
  <sheetViews>
    <sheetView workbookViewId="0">
      <selection activeCell="F7" sqref="F7"/>
    </sheetView>
  </sheetViews>
  <sheetFormatPr baseColWidth="10" defaultRowHeight="15" x14ac:dyDescent="0.25"/>
  <cols>
    <col min="3" max="3" width="11.5703125" bestFit="1" customWidth="1"/>
    <col min="4" max="4" width="15.85546875" bestFit="1" customWidth="1"/>
    <col min="5" max="5" width="14" bestFit="1" customWidth="1"/>
    <col min="6" max="6" width="12.140625" bestFit="1" customWidth="1"/>
  </cols>
  <sheetData>
    <row r="3" spans="2:6" x14ac:dyDescent="0.25">
      <c r="B3" s="27" t="s">
        <v>13</v>
      </c>
      <c r="C3" s="4" t="s">
        <v>1</v>
      </c>
      <c r="D3" s="4" t="s">
        <v>10</v>
      </c>
      <c r="E3" s="4" t="s">
        <v>11</v>
      </c>
      <c r="F3" s="4" t="s">
        <v>12</v>
      </c>
    </row>
    <row r="4" spans="2:6" x14ac:dyDescent="0.25">
      <c r="B4" s="27"/>
      <c r="C4" t="s">
        <v>5</v>
      </c>
      <c r="D4" s="2">
        <f>'Compras '!F3</f>
        <v>15125</v>
      </c>
      <c r="E4" s="2">
        <f>Ventas!F3</f>
        <v>13068</v>
      </c>
      <c r="F4" s="2">
        <f>D4-E4</f>
        <v>2057</v>
      </c>
    </row>
    <row r="5" spans="2:6" x14ac:dyDescent="0.25">
      <c r="B5" s="27"/>
      <c r="C5" t="s">
        <v>6</v>
      </c>
      <c r="D5" s="2">
        <f>'Compras '!F4</f>
        <v>17061</v>
      </c>
      <c r="E5" s="2">
        <f>Ventas!F4</f>
        <v>11519.2</v>
      </c>
      <c r="F5" s="2">
        <f t="shared" ref="F5:F7" si="0">D5-E5</f>
        <v>5541.7999999999993</v>
      </c>
    </row>
    <row r="6" spans="2:6" x14ac:dyDescent="0.25">
      <c r="B6" s="27"/>
      <c r="C6" t="s">
        <v>7</v>
      </c>
      <c r="D6" s="2">
        <f>'Compras '!F5</f>
        <v>14724.49</v>
      </c>
      <c r="E6" s="2">
        <f>Ventas!F5</f>
        <v>14134.01</v>
      </c>
      <c r="F6" s="2">
        <f t="shared" si="0"/>
        <v>590.47999999999956</v>
      </c>
    </row>
    <row r="7" spans="2:6" x14ac:dyDescent="0.25">
      <c r="B7" s="27"/>
      <c r="C7" t="s">
        <v>8</v>
      </c>
      <c r="D7" s="2">
        <f>'Compras '!F6</f>
        <v>16436.64</v>
      </c>
      <c r="E7" s="2">
        <f>Ventas!F6</f>
        <v>13019.6</v>
      </c>
      <c r="F7" s="2">
        <f t="shared" si="0"/>
        <v>3417.0399999999991</v>
      </c>
    </row>
  </sheetData>
  <mergeCells count="1">
    <mergeCell ref="B3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T21"/>
  <sheetViews>
    <sheetView workbookViewId="0">
      <selection activeCell="G4" sqref="G4"/>
    </sheetView>
  </sheetViews>
  <sheetFormatPr baseColWidth="10" defaultRowHeight="15" x14ac:dyDescent="0.25"/>
  <cols>
    <col min="16" max="16" width="16.28515625" bestFit="1" customWidth="1"/>
  </cols>
  <sheetData>
    <row r="5" spans="2:20" ht="15.75" thickBot="1" x14ac:dyDescent="0.3"/>
    <row r="6" spans="2:20" x14ac:dyDescent="0.25">
      <c r="B6" s="8"/>
      <c r="C6" s="12" t="s">
        <v>23</v>
      </c>
      <c r="D6" s="12" t="s">
        <v>24</v>
      </c>
      <c r="E6" s="12" t="s">
        <v>37</v>
      </c>
      <c r="F6" s="12" t="s">
        <v>38</v>
      </c>
      <c r="G6" s="12" t="s">
        <v>39</v>
      </c>
      <c r="H6" s="12" t="s">
        <v>40</v>
      </c>
      <c r="I6" s="12" t="s">
        <v>41</v>
      </c>
      <c r="J6" s="12" t="s">
        <v>42</v>
      </c>
      <c r="K6" s="12" t="s">
        <v>43</v>
      </c>
      <c r="L6" s="12" t="s">
        <v>44</v>
      </c>
      <c r="M6" s="12" t="s">
        <v>45</v>
      </c>
      <c r="N6" s="12" t="s">
        <v>25</v>
      </c>
      <c r="O6" s="13" t="s">
        <v>4</v>
      </c>
      <c r="Q6" s="22"/>
      <c r="R6" s="22"/>
      <c r="S6" s="22"/>
      <c r="T6" s="22"/>
    </row>
    <row r="7" spans="2:20" x14ac:dyDescent="0.25">
      <c r="B7" s="14" t="s">
        <v>18</v>
      </c>
      <c r="C7" s="6">
        <f>($O$15+$P$15)*$N$15</f>
        <v>24000</v>
      </c>
      <c r="D7" s="6">
        <f t="shared" ref="D7:M7" si="0">($O$15+$P$15)*$N$15</f>
        <v>24000</v>
      </c>
      <c r="E7" s="6">
        <f t="shared" si="0"/>
        <v>24000</v>
      </c>
      <c r="F7" s="6">
        <f t="shared" si="0"/>
        <v>24000</v>
      </c>
      <c r="G7" s="6">
        <f t="shared" si="0"/>
        <v>24000</v>
      </c>
      <c r="H7" s="6">
        <f>(($O$15+$P$15)*$N$15)*2</f>
        <v>48000</v>
      </c>
      <c r="I7" s="6">
        <f t="shared" si="0"/>
        <v>24000</v>
      </c>
      <c r="J7" s="6">
        <f t="shared" si="0"/>
        <v>24000</v>
      </c>
      <c r="K7" s="6">
        <f t="shared" si="0"/>
        <v>24000</v>
      </c>
      <c r="L7" s="6">
        <f t="shared" si="0"/>
        <v>24000</v>
      </c>
      <c r="M7" s="6">
        <f t="shared" si="0"/>
        <v>24000</v>
      </c>
      <c r="N7" s="6">
        <f>(($O$15+$P$15)*$N$15)*2</f>
        <v>48000</v>
      </c>
      <c r="O7" s="9">
        <f>SUM(C7:N7)</f>
        <v>336000</v>
      </c>
      <c r="Q7" s="21"/>
      <c r="R7" s="5"/>
      <c r="S7" s="6"/>
      <c r="T7" s="6"/>
    </row>
    <row r="8" spans="2:20" x14ac:dyDescent="0.25">
      <c r="B8" s="14" t="s">
        <v>19</v>
      </c>
      <c r="C8" s="6">
        <f>($O$16+$P$16)*$N$16</f>
        <v>10500</v>
      </c>
      <c r="D8" s="6">
        <f t="shared" ref="D8:M8" si="1">($O$16+$P$16)*$N$16</f>
        <v>10500</v>
      </c>
      <c r="E8" s="6">
        <f t="shared" si="1"/>
        <v>10500</v>
      </c>
      <c r="F8" s="6">
        <f t="shared" si="1"/>
        <v>10500</v>
      </c>
      <c r="G8" s="6">
        <f t="shared" si="1"/>
        <v>10500</v>
      </c>
      <c r="H8" s="6">
        <f>(($O$16+$P$16)*$N$16)*2</f>
        <v>21000</v>
      </c>
      <c r="I8" s="6">
        <f t="shared" si="1"/>
        <v>10500</v>
      </c>
      <c r="J8" s="6">
        <f t="shared" si="1"/>
        <v>10500</v>
      </c>
      <c r="K8" s="6">
        <f t="shared" si="1"/>
        <v>10500</v>
      </c>
      <c r="L8" s="6">
        <f t="shared" si="1"/>
        <v>10500</v>
      </c>
      <c r="M8" s="6">
        <f t="shared" si="1"/>
        <v>10500</v>
      </c>
      <c r="N8" s="6">
        <f>(($O$16+$P$16)*$N$16)*2</f>
        <v>21000</v>
      </c>
      <c r="O8" s="9">
        <f t="shared" ref="O8:O10" si="2">SUM(C8:N8)</f>
        <v>147000</v>
      </c>
      <c r="Q8" s="21"/>
      <c r="R8" s="5"/>
      <c r="S8" s="6"/>
      <c r="T8" s="6"/>
    </row>
    <row r="9" spans="2:20" x14ac:dyDescent="0.25">
      <c r="B9" s="14" t="s">
        <v>20</v>
      </c>
      <c r="C9" s="6">
        <f>($O$17+$P$17)*$N$17</f>
        <v>9200</v>
      </c>
      <c r="D9" s="6">
        <f t="shared" ref="D9:M9" si="3">($O$17+$P$17)*$N$17</f>
        <v>9200</v>
      </c>
      <c r="E9" s="6">
        <f t="shared" si="3"/>
        <v>9200</v>
      </c>
      <c r="F9" s="6">
        <f t="shared" si="3"/>
        <v>9200</v>
      </c>
      <c r="G9" s="6">
        <f t="shared" si="3"/>
        <v>9200</v>
      </c>
      <c r="H9" s="6">
        <f>(($O$17+$P$17)*$N$17)*2</f>
        <v>18400</v>
      </c>
      <c r="I9" s="6">
        <f t="shared" si="3"/>
        <v>9200</v>
      </c>
      <c r="J9" s="6">
        <f t="shared" si="3"/>
        <v>9200</v>
      </c>
      <c r="K9" s="6">
        <f t="shared" si="3"/>
        <v>9200</v>
      </c>
      <c r="L9" s="6">
        <f t="shared" si="3"/>
        <v>9200</v>
      </c>
      <c r="M9" s="6">
        <f t="shared" si="3"/>
        <v>9200</v>
      </c>
      <c r="N9" s="6">
        <f>(($O$17+$P$17)*$N$17)*2</f>
        <v>18400</v>
      </c>
      <c r="O9" s="9">
        <f t="shared" si="2"/>
        <v>128800</v>
      </c>
      <c r="Q9" s="21"/>
      <c r="R9" s="5"/>
      <c r="S9" s="6"/>
      <c r="T9" s="6"/>
    </row>
    <row r="10" spans="2:20" x14ac:dyDescent="0.25">
      <c r="B10" s="14" t="s">
        <v>21</v>
      </c>
      <c r="C10" s="6">
        <f>($O$18+$P$18)*$N$18</f>
        <v>4500</v>
      </c>
      <c r="D10" s="6">
        <f t="shared" ref="D10:M10" si="4">($O$18+$P$18)*$N$18</f>
        <v>4500</v>
      </c>
      <c r="E10" s="6">
        <f t="shared" si="4"/>
        <v>4500</v>
      </c>
      <c r="F10" s="6">
        <f t="shared" si="4"/>
        <v>4500</v>
      </c>
      <c r="G10" s="6">
        <f t="shared" si="4"/>
        <v>4500</v>
      </c>
      <c r="H10" s="6">
        <f>(($O$18+$P$18)*$N$18)*2</f>
        <v>9000</v>
      </c>
      <c r="I10" s="6">
        <f t="shared" si="4"/>
        <v>4500</v>
      </c>
      <c r="J10" s="6">
        <f t="shared" si="4"/>
        <v>4500</v>
      </c>
      <c r="K10" s="6">
        <f t="shared" si="4"/>
        <v>4500</v>
      </c>
      <c r="L10" s="6">
        <f t="shared" si="4"/>
        <v>4500</v>
      </c>
      <c r="M10" s="6">
        <f t="shared" si="4"/>
        <v>4500</v>
      </c>
      <c r="N10" s="6">
        <f>(($O$18+$P$18)*$N$18)*2</f>
        <v>9000</v>
      </c>
      <c r="O10" s="9">
        <f t="shared" si="2"/>
        <v>63000</v>
      </c>
      <c r="Q10" s="21"/>
      <c r="R10" s="5"/>
      <c r="S10" s="6"/>
      <c r="T10" s="6"/>
    </row>
    <row r="11" spans="2:20" ht="15.75" thickBot="1" x14ac:dyDescent="0.3">
      <c r="B11" s="28" t="s">
        <v>22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11">
        <f>O7+O8+O9+O10</f>
        <v>674800</v>
      </c>
    </row>
    <row r="13" spans="2:20" ht="15.75" thickBot="1" x14ac:dyDescent="0.3"/>
    <row r="14" spans="2:20" x14ac:dyDescent="0.25">
      <c r="M14" s="15" t="s">
        <v>14</v>
      </c>
      <c r="N14" s="12" t="s">
        <v>15</v>
      </c>
      <c r="O14" s="12" t="s">
        <v>16</v>
      </c>
      <c r="P14" s="13" t="s">
        <v>17</v>
      </c>
    </row>
    <row r="15" spans="2:20" x14ac:dyDescent="0.25">
      <c r="M15" s="14" t="s">
        <v>18</v>
      </c>
      <c r="N15" s="5">
        <v>12</v>
      </c>
      <c r="O15" s="6">
        <v>1500</v>
      </c>
      <c r="P15" s="9">
        <v>500</v>
      </c>
    </row>
    <row r="16" spans="2:20" x14ac:dyDescent="0.25">
      <c r="M16" s="14" t="s">
        <v>19</v>
      </c>
      <c r="N16" s="5">
        <v>7</v>
      </c>
      <c r="O16" s="6">
        <v>1200</v>
      </c>
      <c r="P16" s="9">
        <v>300</v>
      </c>
    </row>
    <row r="17" spans="13:20" x14ac:dyDescent="0.25">
      <c r="M17" s="14" t="s">
        <v>20</v>
      </c>
      <c r="N17" s="5">
        <v>8</v>
      </c>
      <c r="O17" s="6">
        <v>1000</v>
      </c>
      <c r="P17" s="9">
        <v>150</v>
      </c>
      <c r="Q17" s="23"/>
      <c r="R17" s="22"/>
      <c r="S17" s="22"/>
      <c r="T17" s="22"/>
    </row>
    <row r="18" spans="13:20" ht="15.75" thickBot="1" x14ac:dyDescent="0.3">
      <c r="M18" s="16" t="s">
        <v>21</v>
      </c>
      <c r="N18" s="7">
        <v>5</v>
      </c>
      <c r="O18" s="10">
        <v>800</v>
      </c>
      <c r="P18" s="11">
        <v>100</v>
      </c>
      <c r="Q18" s="23"/>
      <c r="R18" s="24"/>
      <c r="S18" s="25"/>
      <c r="T18" s="25"/>
    </row>
    <row r="19" spans="13:20" x14ac:dyDescent="0.25">
      <c r="Q19" s="22"/>
      <c r="R19" s="24"/>
      <c r="S19" s="25"/>
      <c r="T19" s="25"/>
    </row>
    <row r="20" spans="13:20" x14ac:dyDescent="0.25">
      <c r="Q20" s="22"/>
      <c r="R20" s="24"/>
      <c r="S20" s="25"/>
      <c r="T20" s="25"/>
    </row>
    <row r="21" spans="13:20" x14ac:dyDescent="0.25">
      <c r="Q21" s="22"/>
      <c r="R21" s="24"/>
      <c r="S21" s="25"/>
      <c r="T21" s="25"/>
    </row>
  </sheetData>
  <mergeCells count="1">
    <mergeCell ref="B11:N11"/>
  </mergeCells>
  <pageMargins left="0.7" right="0.7" top="0.75" bottom="0.75" header="0.3" footer="0.3"/>
  <ignoredErrors>
    <ignoredError sqref="H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J26"/>
  <sheetViews>
    <sheetView topLeftCell="B16" workbookViewId="0">
      <selection activeCell="C23" sqref="C23"/>
    </sheetView>
  </sheetViews>
  <sheetFormatPr baseColWidth="10" defaultRowHeight="15" x14ac:dyDescent="0.25"/>
  <cols>
    <col min="2" max="2" width="14.28515625" bestFit="1" customWidth="1"/>
    <col min="3" max="3" width="14" bestFit="1" customWidth="1"/>
    <col min="7" max="7" width="10.28515625" customWidth="1"/>
    <col min="8" max="8" width="12.42578125" bestFit="1" customWidth="1"/>
    <col min="10" max="10" width="12.28515625" bestFit="1" customWidth="1"/>
  </cols>
  <sheetData>
    <row r="19" spans="2:10" ht="15.75" thickBot="1" x14ac:dyDescent="0.3"/>
    <row r="20" spans="2:10" ht="15.75" thickTop="1" x14ac:dyDescent="0.25">
      <c r="C20" s="30" t="s">
        <v>30</v>
      </c>
      <c r="D20" s="30" t="s">
        <v>31</v>
      </c>
      <c r="E20" s="30" t="s">
        <v>32</v>
      </c>
      <c r="F20" s="30" t="s">
        <v>33</v>
      </c>
      <c r="G20" s="30" t="s">
        <v>34</v>
      </c>
      <c r="H20" s="30" t="s">
        <v>35</v>
      </c>
      <c r="J20" s="19" t="s">
        <v>36</v>
      </c>
    </row>
    <row r="21" spans="2:10" ht="15.75" thickBot="1" x14ac:dyDescent="0.3">
      <c r="C21" s="30"/>
      <c r="D21" s="30"/>
      <c r="E21" s="30"/>
      <c r="F21" s="30"/>
      <c r="G21" s="30"/>
      <c r="H21" s="30"/>
      <c r="J21" s="18">
        <v>20</v>
      </c>
    </row>
    <row r="22" spans="2:10" ht="15.75" thickTop="1" x14ac:dyDescent="0.25">
      <c r="C22" s="30"/>
      <c r="D22" s="30"/>
      <c r="E22" s="30"/>
      <c r="F22" s="30"/>
      <c r="G22" s="30"/>
      <c r="H22" s="30"/>
    </row>
    <row r="23" spans="2:10" x14ac:dyDescent="0.25">
      <c r="B23" s="17" t="s">
        <v>26</v>
      </c>
      <c r="C23">
        <v>6</v>
      </c>
      <c r="D23">
        <v>8</v>
      </c>
      <c r="E23">
        <v>3</v>
      </c>
      <c r="F23">
        <v>12</v>
      </c>
      <c r="G23">
        <v>9</v>
      </c>
      <c r="H23">
        <v>2</v>
      </c>
    </row>
    <row r="24" spans="2:10" x14ac:dyDescent="0.25">
      <c r="B24" s="17" t="s">
        <v>27</v>
      </c>
      <c r="C24">
        <f>$J$21-C23</f>
        <v>14</v>
      </c>
      <c r="D24">
        <f t="shared" ref="D24:H24" si="0">$J$21-D23</f>
        <v>12</v>
      </c>
      <c r="E24">
        <f t="shared" si="0"/>
        <v>17</v>
      </c>
      <c r="F24">
        <f t="shared" si="0"/>
        <v>8</v>
      </c>
      <c r="G24">
        <f t="shared" si="0"/>
        <v>11</v>
      </c>
      <c r="H24">
        <f t="shared" si="0"/>
        <v>18</v>
      </c>
    </row>
    <row r="25" spans="2:10" x14ac:dyDescent="0.25">
      <c r="B25" s="17" t="s">
        <v>28</v>
      </c>
      <c r="C25" s="20">
        <f>C23/$J$21</f>
        <v>0.3</v>
      </c>
      <c r="D25" s="20">
        <f t="shared" ref="D25:H25" si="1">D23/$J$21</f>
        <v>0.4</v>
      </c>
      <c r="E25" s="20">
        <f t="shared" si="1"/>
        <v>0.15</v>
      </c>
      <c r="F25" s="20">
        <f t="shared" si="1"/>
        <v>0.6</v>
      </c>
      <c r="G25" s="20">
        <f t="shared" si="1"/>
        <v>0.45</v>
      </c>
      <c r="H25" s="20">
        <f t="shared" si="1"/>
        <v>0.1</v>
      </c>
    </row>
    <row r="26" spans="2:10" x14ac:dyDescent="0.25">
      <c r="B26" s="17" t="s">
        <v>29</v>
      </c>
      <c r="C26" s="20">
        <f>C24/$J$21</f>
        <v>0.7</v>
      </c>
      <c r="D26" s="20">
        <f t="shared" ref="D26:H26" si="2">D24/$J$21</f>
        <v>0.6</v>
      </c>
      <c r="E26" s="20">
        <f t="shared" si="2"/>
        <v>0.85</v>
      </c>
      <c r="F26" s="20">
        <f t="shared" si="2"/>
        <v>0.4</v>
      </c>
      <c r="G26" s="20">
        <f>G24/$J$21</f>
        <v>0.55000000000000004</v>
      </c>
      <c r="H26" s="20">
        <f t="shared" si="2"/>
        <v>0.9</v>
      </c>
    </row>
  </sheetData>
  <mergeCells count="6">
    <mergeCell ref="H20:H22"/>
    <mergeCell ref="C20:C22"/>
    <mergeCell ref="D20:D22"/>
    <mergeCell ref="E20:E22"/>
    <mergeCell ref="F20:F22"/>
    <mergeCell ref="G20:G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J26"/>
  <sheetViews>
    <sheetView topLeftCell="B16" workbookViewId="0">
      <selection activeCell="C26" sqref="C26"/>
    </sheetView>
  </sheetViews>
  <sheetFormatPr baseColWidth="10" defaultRowHeight="15" x14ac:dyDescent="0.25"/>
  <cols>
    <col min="2" max="2" width="14.28515625" bestFit="1" customWidth="1"/>
    <col min="3" max="3" width="14" bestFit="1" customWidth="1"/>
    <col min="7" max="7" width="10.28515625" customWidth="1"/>
    <col min="8" max="8" width="12.42578125" bestFit="1" customWidth="1"/>
    <col min="10" max="10" width="12.28515625" bestFit="1" customWidth="1"/>
  </cols>
  <sheetData>
    <row r="19" spans="2:10" ht="15.75" thickBot="1" x14ac:dyDescent="0.3"/>
    <row r="20" spans="2:10" ht="15.75" thickTop="1" x14ac:dyDescent="0.25">
      <c r="C20" s="30" t="s">
        <v>30</v>
      </c>
      <c r="D20" s="30" t="s">
        <v>31</v>
      </c>
      <c r="E20" s="30" t="s">
        <v>32</v>
      </c>
      <c r="F20" s="30" t="s">
        <v>33</v>
      </c>
      <c r="G20" s="30" t="s">
        <v>34</v>
      </c>
      <c r="H20" s="30" t="s">
        <v>35</v>
      </c>
      <c r="J20" s="19" t="s">
        <v>36</v>
      </c>
    </row>
    <row r="21" spans="2:10" ht="15.75" thickBot="1" x14ac:dyDescent="0.3">
      <c r="C21" s="30"/>
      <c r="D21" s="30"/>
      <c r="E21" s="30"/>
      <c r="F21" s="30"/>
      <c r="G21" s="30"/>
      <c r="H21" s="30"/>
      <c r="J21" s="18">
        <v>15</v>
      </c>
    </row>
    <row r="22" spans="2:10" ht="15.75" thickTop="1" x14ac:dyDescent="0.25">
      <c r="C22" s="30"/>
      <c r="D22" s="30"/>
      <c r="E22" s="30"/>
      <c r="F22" s="30"/>
      <c r="G22" s="30"/>
      <c r="H22" s="30"/>
    </row>
    <row r="23" spans="2:10" x14ac:dyDescent="0.25">
      <c r="B23" s="17" t="s">
        <v>26</v>
      </c>
      <c r="C23">
        <v>6</v>
      </c>
      <c r="D23">
        <v>8</v>
      </c>
      <c r="E23">
        <v>3</v>
      </c>
      <c r="F23">
        <v>12</v>
      </c>
      <c r="G23">
        <v>9</v>
      </c>
      <c r="H23">
        <v>2</v>
      </c>
    </row>
    <row r="24" spans="2:10" x14ac:dyDescent="0.25">
      <c r="B24" s="17" t="s">
        <v>27</v>
      </c>
      <c r="C24">
        <f>$J$21-C23</f>
        <v>9</v>
      </c>
      <c r="D24">
        <f t="shared" ref="D24:H24" si="0">$J$21-D23</f>
        <v>7</v>
      </c>
      <c r="E24">
        <f t="shared" si="0"/>
        <v>12</v>
      </c>
      <c r="F24">
        <f t="shared" si="0"/>
        <v>3</v>
      </c>
      <c r="G24">
        <f t="shared" si="0"/>
        <v>6</v>
      </c>
      <c r="H24">
        <f t="shared" si="0"/>
        <v>13</v>
      </c>
    </row>
    <row r="25" spans="2:10" x14ac:dyDescent="0.25">
      <c r="B25" s="17" t="s">
        <v>28</v>
      </c>
      <c r="C25" s="20">
        <f>C23/$J$21</f>
        <v>0.4</v>
      </c>
      <c r="D25" s="20">
        <f t="shared" ref="D25:H26" si="1">D23/$J$21</f>
        <v>0.53333333333333333</v>
      </c>
      <c r="E25" s="20">
        <f t="shared" si="1"/>
        <v>0.2</v>
      </c>
      <c r="F25" s="20">
        <f t="shared" si="1"/>
        <v>0.8</v>
      </c>
      <c r="G25" s="20">
        <f t="shared" si="1"/>
        <v>0.6</v>
      </c>
      <c r="H25" s="20">
        <f t="shared" si="1"/>
        <v>0.13333333333333333</v>
      </c>
    </row>
    <row r="26" spans="2:10" x14ac:dyDescent="0.25">
      <c r="B26" s="17" t="s">
        <v>29</v>
      </c>
      <c r="C26" s="20">
        <f>C24/$J$21</f>
        <v>0.6</v>
      </c>
      <c r="D26" s="20">
        <f t="shared" si="1"/>
        <v>0.46666666666666667</v>
      </c>
      <c r="E26" s="20">
        <f t="shared" si="1"/>
        <v>0.8</v>
      </c>
      <c r="F26" s="20">
        <f t="shared" si="1"/>
        <v>0.2</v>
      </c>
      <c r="G26" s="20">
        <f>G24/$J$21</f>
        <v>0.4</v>
      </c>
      <c r="H26" s="20">
        <f t="shared" si="1"/>
        <v>0.8666666666666667</v>
      </c>
    </row>
  </sheetData>
  <mergeCells count="6">
    <mergeCell ref="H20:H22"/>
    <mergeCell ref="C20:C22"/>
    <mergeCell ref="D20:D22"/>
    <mergeCell ref="E20:E22"/>
    <mergeCell ref="F20:F22"/>
    <mergeCell ref="G20:G2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32"/>
  <sheetViews>
    <sheetView workbookViewId="0">
      <selection activeCell="C3" sqref="C3"/>
    </sheetView>
  </sheetViews>
  <sheetFormatPr baseColWidth="10" defaultRowHeight="15" x14ac:dyDescent="0.25"/>
  <sheetData>
    <row r="3" spans="2:3" x14ac:dyDescent="0.25">
      <c r="B3">
        <v>2</v>
      </c>
      <c r="C3" t="str">
        <f>ROMAN(B3)</f>
        <v>II</v>
      </c>
    </row>
    <row r="4" spans="2:3" x14ac:dyDescent="0.25">
      <c r="B4">
        <v>4</v>
      </c>
      <c r="C4" t="str">
        <f>ROMAN(B4)</f>
        <v>IV</v>
      </c>
    </row>
    <row r="5" spans="2:3" x14ac:dyDescent="0.25">
      <c r="B5">
        <v>6</v>
      </c>
      <c r="C5" t="str">
        <f t="shared" ref="C5:C32" si="0">ROMAN(B5)</f>
        <v>VI</v>
      </c>
    </row>
    <row r="6" spans="2:3" x14ac:dyDescent="0.25">
      <c r="B6">
        <v>8</v>
      </c>
      <c r="C6" t="str">
        <f t="shared" si="0"/>
        <v>VIII</v>
      </c>
    </row>
    <row r="7" spans="2:3" x14ac:dyDescent="0.25">
      <c r="B7">
        <v>10</v>
      </c>
      <c r="C7" t="str">
        <f t="shared" si="0"/>
        <v>X</v>
      </c>
    </row>
    <row r="8" spans="2:3" x14ac:dyDescent="0.25">
      <c r="B8">
        <v>12</v>
      </c>
      <c r="C8" t="str">
        <f t="shared" si="0"/>
        <v>XII</v>
      </c>
    </row>
    <row r="9" spans="2:3" x14ac:dyDescent="0.25">
      <c r="B9">
        <v>14</v>
      </c>
      <c r="C9" t="str">
        <f t="shared" si="0"/>
        <v>XIV</v>
      </c>
    </row>
    <row r="10" spans="2:3" x14ac:dyDescent="0.25">
      <c r="B10">
        <v>16</v>
      </c>
      <c r="C10" t="str">
        <f t="shared" si="0"/>
        <v>XVI</v>
      </c>
    </row>
    <row r="11" spans="2:3" x14ac:dyDescent="0.25">
      <c r="B11">
        <v>18</v>
      </c>
      <c r="C11" t="str">
        <f t="shared" si="0"/>
        <v>XVIII</v>
      </c>
    </row>
    <row r="12" spans="2:3" x14ac:dyDescent="0.25">
      <c r="B12">
        <v>20</v>
      </c>
      <c r="C12" t="str">
        <f t="shared" si="0"/>
        <v>XX</v>
      </c>
    </row>
    <row r="13" spans="2:3" x14ac:dyDescent="0.25">
      <c r="B13">
        <v>22</v>
      </c>
      <c r="C13" t="str">
        <f t="shared" si="0"/>
        <v>XXII</v>
      </c>
    </row>
    <row r="14" spans="2:3" x14ac:dyDescent="0.25">
      <c r="B14">
        <v>24</v>
      </c>
      <c r="C14" t="str">
        <f t="shared" si="0"/>
        <v>XXIV</v>
      </c>
    </row>
    <row r="15" spans="2:3" x14ac:dyDescent="0.25">
      <c r="B15">
        <v>26</v>
      </c>
      <c r="C15" t="str">
        <f t="shared" si="0"/>
        <v>XXVI</v>
      </c>
    </row>
    <row r="16" spans="2:3" x14ac:dyDescent="0.25">
      <c r="B16">
        <v>28</v>
      </c>
      <c r="C16" t="str">
        <f t="shared" si="0"/>
        <v>XXVIII</v>
      </c>
    </row>
    <row r="17" spans="2:3" x14ac:dyDescent="0.25">
      <c r="B17">
        <v>30</v>
      </c>
      <c r="C17" t="str">
        <f t="shared" si="0"/>
        <v>XXX</v>
      </c>
    </row>
    <row r="18" spans="2:3" x14ac:dyDescent="0.25">
      <c r="B18">
        <v>32</v>
      </c>
      <c r="C18" t="str">
        <f t="shared" si="0"/>
        <v>XXXII</v>
      </c>
    </row>
    <row r="19" spans="2:3" x14ac:dyDescent="0.25">
      <c r="B19">
        <v>34</v>
      </c>
      <c r="C19" t="str">
        <f t="shared" si="0"/>
        <v>XXXIV</v>
      </c>
    </row>
    <row r="20" spans="2:3" x14ac:dyDescent="0.25">
      <c r="B20">
        <v>36</v>
      </c>
      <c r="C20" t="str">
        <f t="shared" si="0"/>
        <v>XXXVI</v>
      </c>
    </row>
    <row r="21" spans="2:3" x14ac:dyDescent="0.25">
      <c r="B21">
        <v>38</v>
      </c>
      <c r="C21" t="str">
        <f t="shared" si="0"/>
        <v>XXXVIII</v>
      </c>
    </row>
    <row r="22" spans="2:3" x14ac:dyDescent="0.25">
      <c r="B22">
        <v>40</v>
      </c>
      <c r="C22" t="str">
        <f t="shared" si="0"/>
        <v>XL</v>
      </c>
    </row>
    <row r="23" spans="2:3" x14ac:dyDescent="0.25">
      <c r="B23">
        <v>42</v>
      </c>
      <c r="C23" t="str">
        <f t="shared" si="0"/>
        <v>XLII</v>
      </c>
    </row>
    <row r="24" spans="2:3" x14ac:dyDescent="0.25">
      <c r="B24">
        <v>44</v>
      </c>
      <c r="C24" t="str">
        <f t="shared" si="0"/>
        <v>XLIV</v>
      </c>
    </row>
    <row r="25" spans="2:3" x14ac:dyDescent="0.25">
      <c r="B25">
        <v>46</v>
      </c>
      <c r="C25" t="str">
        <f t="shared" si="0"/>
        <v>XLVI</v>
      </c>
    </row>
    <row r="26" spans="2:3" x14ac:dyDescent="0.25">
      <c r="B26">
        <v>48</v>
      </c>
      <c r="C26" t="str">
        <f t="shared" si="0"/>
        <v>XLVIII</v>
      </c>
    </row>
    <row r="27" spans="2:3" x14ac:dyDescent="0.25">
      <c r="B27">
        <v>50</v>
      </c>
      <c r="C27" t="str">
        <f t="shared" si="0"/>
        <v>L</v>
      </c>
    </row>
    <row r="28" spans="2:3" x14ac:dyDescent="0.25">
      <c r="B28">
        <v>52</v>
      </c>
      <c r="C28" t="str">
        <f t="shared" si="0"/>
        <v>LII</v>
      </c>
    </row>
    <row r="29" spans="2:3" x14ac:dyDescent="0.25">
      <c r="B29">
        <v>54</v>
      </c>
      <c r="C29" t="str">
        <f t="shared" si="0"/>
        <v>LIV</v>
      </c>
    </row>
    <row r="30" spans="2:3" x14ac:dyDescent="0.25">
      <c r="B30">
        <v>56</v>
      </c>
      <c r="C30" t="str">
        <f t="shared" si="0"/>
        <v>LVI</v>
      </c>
    </row>
    <row r="31" spans="2:3" x14ac:dyDescent="0.25">
      <c r="B31">
        <v>58</v>
      </c>
      <c r="C31" t="str">
        <f t="shared" si="0"/>
        <v>LVIII</v>
      </c>
    </row>
    <row r="32" spans="2:3" x14ac:dyDescent="0.25">
      <c r="B32">
        <v>60</v>
      </c>
      <c r="C32" t="str">
        <f t="shared" si="0"/>
        <v>LX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Compras </vt:lpstr>
      <vt:lpstr>Ventas</vt:lpstr>
      <vt:lpstr>Resultados</vt:lpstr>
      <vt:lpstr>Ejercicio 2 </vt:lpstr>
      <vt:lpstr>Ejercicio 3</vt:lpstr>
      <vt:lpstr>Ejercicio 4</vt:lpstr>
      <vt:lpstr>Ejercicio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smr1</dc:creator>
  <cp:lastModifiedBy>smr1</cp:lastModifiedBy>
  <dcterms:created xsi:type="dcterms:W3CDTF">2022-01-13T12:06:12Z</dcterms:created>
  <dcterms:modified xsi:type="dcterms:W3CDTF">2022-03-02T06:38:15Z</dcterms:modified>
</cp:coreProperties>
</file>