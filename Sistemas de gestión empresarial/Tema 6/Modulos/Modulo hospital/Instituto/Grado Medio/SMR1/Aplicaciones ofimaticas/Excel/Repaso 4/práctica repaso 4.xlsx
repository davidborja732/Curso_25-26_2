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Aplicaciones ofimaticas\Excel\Repaso 4\"/>
    </mc:Choice>
  </mc:AlternateContent>
  <bookViews>
    <workbookView xWindow="0" yWindow="0" windowWidth="20490" windowHeight="7650"/>
  </bookViews>
  <sheets>
    <sheet name="Presentación" sheetId="8" r:id="rId1"/>
    <sheet name="Letra NIF" sheetId="9" r:id="rId2"/>
    <sheet name="Valores índ. masa corporal" sheetId="11" r:id="rId3"/>
    <sheet name="Estudio nutricional" sheetId="10" r:id="rId4"/>
    <sheet name="Evolución de los pacientes" sheetId="12" r:id="rId5"/>
  </sheets>
  <calcPr calcId="162913"/>
</workbook>
</file>

<file path=xl/calcChain.xml><?xml version="1.0" encoding="utf-8"?>
<calcChain xmlns="http://schemas.openxmlformats.org/spreadsheetml/2006/main">
  <c r="N5" i="12" l="1"/>
  <c r="N6" i="12"/>
  <c r="N7" i="12"/>
  <c r="N8" i="12"/>
  <c r="N9" i="12"/>
  <c r="N10" i="12"/>
  <c r="N11" i="12"/>
  <c r="N12" i="12"/>
  <c r="H4" i="10"/>
  <c r="M5" i="12"/>
  <c r="M6" i="12"/>
  <c r="M7" i="12"/>
  <c r="M8" i="12"/>
  <c r="M9" i="12"/>
  <c r="M10" i="12"/>
  <c r="M11" i="12"/>
  <c r="M12" i="12"/>
  <c r="L5" i="12"/>
  <c r="L6" i="12"/>
  <c r="L7" i="12"/>
  <c r="L8" i="12"/>
  <c r="L9" i="12"/>
  <c r="L10" i="12"/>
  <c r="L11" i="12"/>
  <c r="L12" i="12"/>
  <c r="L4" i="12"/>
  <c r="M4" i="12" s="1"/>
  <c r="N4" i="12" s="1"/>
  <c r="J5" i="12"/>
  <c r="J6" i="12"/>
  <c r="J7" i="12"/>
  <c r="J8" i="12"/>
  <c r="J9" i="12"/>
  <c r="J10" i="12"/>
  <c r="J11" i="12"/>
  <c r="J12" i="12"/>
  <c r="I5" i="12"/>
  <c r="I6" i="12"/>
  <c r="I7" i="12"/>
  <c r="I8" i="12"/>
  <c r="I9" i="12"/>
  <c r="I10" i="12"/>
  <c r="I11" i="12"/>
  <c r="I12" i="12"/>
  <c r="I4" i="12"/>
  <c r="J4" i="12" s="1"/>
  <c r="F4" i="12"/>
  <c r="G5" i="12"/>
  <c r="G6" i="12"/>
  <c r="G7" i="12"/>
  <c r="G8" i="12"/>
  <c r="G9" i="12"/>
  <c r="G10" i="12"/>
  <c r="G11" i="12"/>
  <c r="G12" i="12"/>
  <c r="G4" i="12"/>
  <c r="F5" i="12"/>
  <c r="F6" i="12"/>
  <c r="F7" i="12"/>
  <c r="F8" i="12"/>
  <c r="F9" i="12"/>
  <c r="F10" i="12"/>
  <c r="F11" i="12"/>
  <c r="F12" i="12"/>
  <c r="F4" i="10"/>
  <c r="B5" i="12"/>
  <c r="B6" i="12"/>
  <c r="B7" i="12"/>
  <c r="B8" i="12"/>
  <c r="B9" i="12"/>
  <c r="B10" i="12"/>
  <c r="B11" i="12"/>
  <c r="B12" i="12"/>
  <c r="O5" i="12"/>
  <c r="O6" i="12"/>
  <c r="O7" i="12"/>
  <c r="O8" i="12"/>
  <c r="O9" i="12"/>
  <c r="O10" i="12"/>
  <c r="O11" i="12"/>
  <c r="O12" i="12"/>
  <c r="O4" i="12"/>
  <c r="B4" i="12" s="1"/>
  <c r="B4" i="10"/>
  <c r="B5" i="10"/>
  <c r="D17" i="10"/>
  <c r="D16" i="10"/>
  <c r="D15" i="10"/>
  <c r="H5" i="10"/>
  <c r="H6" i="10"/>
  <c r="H7" i="10"/>
  <c r="H8" i="10"/>
  <c r="H9" i="10"/>
  <c r="H11" i="10"/>
  <c r="H12" i="10"/>
  <c r="G5" i="10"/>
  <c r="G6" i="10"/>
  <c r="G7" i="10"/>
  <c r="G8" i="10"/>
  <c r="G9" i="10"/>
  <c r="G11" i="10"/>
  <c r="G12" i="10"/>
  <c r="G4" i="10"/>
  <c r="F5" i="10"/>
  <c r="F6" i="10"/>
  <c r="F7" i="10"/>
  <c r="F8" i="10"/>
  <c r="F9" i="10"/>
  <c r="F10" i="10"/>
  <c r="G16" i="10" s="1"/>
  <c r="F11" i="10"/>
  <c r="F12" i="10"/>
  <c r="B6" i="10"/>
  <c r="B7" i="10"/>
  <c r="B8" i="10"/>
  <c r="B9" i="10"/>
  <c r="B10" i="10"/>
  <c r="B11" i="10"/>
  <c r="B12" i="10"/>
  <c r="I5" i="10"/>
  <c r="I6" i="10"/>
  <c r="I7" i="10"/>
  <c r="I8" i="10"/>
  <c r="I9" i="10"/>
  <c r="I10" i="10"/>
  <c r="I11" i="10"/>
  <c r="I12" i="10"/>
  <c r="I4" i="10"/>
  <c r="G17" i="10" l="1"/>
  <c r="F13" i="10"/>
  <c r="G10" i="10"/>
  <c r="H10" i="10" s="1"/>
  <c r="D18" i="10" s="1"/>
</calcChain>
</file>

<file path=xl/sharedStrings.xml><?xml version="1.0" encoding="utf-8"?>
<sst xmlns="http://schemas.openxmlformats.org/spreadsheetml/2006/main" count="92" uniqueCount="60">
  <si>
    <r>
      <rPr>
        <b/>
        <sz val="24"/>
        <color indexed="9"/>
        <rFont val="Calibri"/>
        <family val="2"/>
      </rPr>
      <t>Clínica de nutrición</t>
    </r>
    <r>
      <rPr>
        <b/>
        <sz val="14"/>
        <color indexed="9"/>
        <rFont val="Calibri"/>
        <family val="2"/>
      </rPr>
      <t xml:space="preserve">
</t>
    </r>
  </si>
  <si>
    <t>T</t>
  </si>
  <si>
    <t>R</t>
  </si>
  <si>
    <t>W</t>
  </si>
  <si>
    <t>A</t>
  </si>
  <si>
    <t>G</t>
  </si>
  <si>
    <t>M</t>
  </si>
  <si>
    <t>Y</t>
  </si>
  <si>
    <t>F</t>
  </si>
  <si>
    <t>P</t>
  </si>
  <si>
    <t>D</t>
  </si>
  <si>
    <t>X</t>
  </si>
  <si>
    <t>B</t>
  </si>
  <si>
    <t>N</t>
  </si>
  <si>
    <t>J</t>
  </si>
  <si>
    <t>Z</t>
  </si>
  <si>
    <t>S</t>
  </si>
  <si>
    <t>Q</t>
  </si>
  <si>
    <t>V</t>
  </si>
  <si>
    <t>H</t>
  </si>
  <si>
    <t>L</t>
  </si>
  <si>
    <t>C</t>
  </si>
  <si>
    <t>K</t>
  </si>
  <si>
    <t>E</t>
  </si>
  <si>
    <t>DNI</t>
  </si>
  <si>
    <t>LETRA</t>
  </si>
  <si>
    <t>Sexo</t>
  </si>
  <si>
    <t>Altura</t>
  </si>
  <si>
    <t>Total de pacientes</t>
  </si>
  <si>
    <t>Nº mujeres</t>
  </si>
  <si>
    <t>Peso</t>
  </si>
  <si>
    <t>Índice de masa corporal</t>
  </si>
  <si>
    <t>bajo peso</t>
  </si>
  <si>
    <t>peso normal</t>
  </si>
  <si>
    <t>sobrepeso</t>
  </si>
  <si>
    <t>sobrepeso crónico</t>
  </si>
  <si>
    <t>ENTRE</t>
  </si>
  <si>
    <t>RESULTADO</t>
  </si>
  <si>
    <t>Resultado</t>
  </si>
  <si>
    <t>menor que</t>
  </si>
  <si>
    <t>mayor que</t>
  </si>
  <si>
    <t>IDENTIFICACIÓN</t>
  </si>
  <si>
    <t>ESTUDIO</t>
  </si>
  <si>
    <t>CONCLUSIÓN</t>
  </si>
  <si>
    <t>Nº de pacientes a controlar</t>
  </si>
  <si>
    <t>¿Debe seguir control específico de peso?</t>
  </si>
  <si>
    <t>Índice de masa corporal inicial</t>
  </si>
  <si>
    <t>peso</t>
  </si>
  <si>
    <t>ENERO</t>
  </si>
  <si>
    <t>FEBRERO</t>
  </si>
  <si>
    <t>¿Debe continuar el control?</t>
  </si>
  <si>
    <t>Nº hombres</t>
  </si>
  <si>
    <t>Máximo índice corporal</t>
  </si>
  <si>
    <t>Mínimo índice corporal</t>
  </si>
  <si>
    <t>Valores y resultados de los índices de masa corporal</t>
  </si>
  <si>
    <t>Estudio nutricional de clientes</t>
  </si>
  <si>
    <t>Evolución de los pacientes</t>
  </si>
  <si>
    <t>ir pagina</t>
  </si>
  <si>
    <t>índice de masa corporal enero</t>
  </si>
  <si>
    <t>índice de masa corporal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</si>
</sst>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\ &quot;€&quot;"/>
  </numFmts>
  <fonts count="11" x14ac:knownFonts="1">
    <font>
      <sz val="11"/>
      <color theme="1"/>
      <name val="Calibri"/>
      <family val="2"/>
      <scheme val="minor"/>
    </font>
    <font>
      <b/>
      <sz val="14"/>
      <color indexed="9"/>
      <name val="Calibri"/>
      <family val="2"/>
    </font>
    <font>
      <u/>
      <sz val="11"/>
      <color indexed="12"/>
      <name val="Calibri"/>
      <family val="2"/>
    </font>
    <font>
      <b/>
      <sz val="24"/>
      <color indexed="9"/>
      <name val="Calibri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5" tint="-0.499984740745262"/>
      <name val="Calibri"/>
      <family val="2"/>
      <scheme val="minor"/>
    </font>
    <font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4659260841701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 style="dashDot">
        <color indexed="64"/>
      </top>
      <bottom style="dashDot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</borders>
  <cellStyleXfs count="5">
    <xf numFmtId="0" fontId="0" fillId="0" borderId="0"/>
    <xf numFmtId="0" fontId="4" fillId="2" borderId="0">
      <alignment horizontal="center" vertical="center"/>
    </xf>
    <xf numFmtId="0" fontId="5" fillId="3" borderId="1"/>
    <xf numFmtId="0" fontId="2" fillId="0" borderId="0" applyNumberFormat="0" applyFill="0" applyBorder="0" applyAlignment="0" applyProtection="0">
      <alignment vertical="top"/>
      <protection locked="0"/>
    </xf>
    <xf numFmtId="164" fontId="7" fillId="4" borderId="2"/>
  </cellStyleXfs>
  <cellXfs count="5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" xfId="0" applyBorder="1" applyAlignment="1">
      <alignment horizontal="center"/>
    </xf>
    <xf numFmtId="0" fontId="6" fillId="7" borderId="17" xfId="0" applyFont="1" applyFill="1" applyBorder="1"/>
    <xf numFmtId="0" fontId="6" fillId="7" borderId="18" xfId="0" applyFont="1" applyFill="1" applyBorder="1"/>
    <xf numFmtId="0" fontId="7" fillId="8" borderId="2" xfId="0" applyFont="1" applyFill="1" applyBorder="1"/>
    <xf numFmtId="0" fontId="6" fillId="7" borderId="3" xfId="0" applyFont="1" applyFill="1" applyBorder="1" applyAlignment="1">
      <alignment horizontal="center" wrapText="1"/>
    </xf>
    <xf numFmtId="0" fontId="6" fillId="7" borderId="4" xfId="0" applyFont="1" applyFill="1" applyBorder="1" applyAlignment="1">
      <alignment horizontal="center" wrapText="1"/>
    </xf>
    <xf numFmtId="0" fontId="6" fillId="7" borderId="5" xfId="0" applyFont="1" applyFill="1" applyBorder="1" applyAlignment="1">
      <alignment horizontal="center" wrapText="1"/>
    </xf>
    <xf numFmtId="0" fontId="8" fillId="9" borderId="0" xfId="0" applyFont="1" applyFill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5" borderId="2" xfId="0" applyFont="1" applyFill="1" applyBorder="1" applyAlignment="1">
      <alignment horizontal="center"/>
    </xf>
    <xf numFmtId="0" fontId="6" fillId="7" borderId="17" xfId="0" applyFont="1" applyFill="1" applyBorder="1" applyAlignment="1">
      <alignment horizontal="center"/>
    </xf>
    <xf numFmtId="0" fontId="6" fillId="7" borderId="19" xfId="0" applyFont="1" applyFill="1" applyBorder="1" applyAlignment="1">
      <alignment horizontal="center"/>
    </xf>
    <xf numFmtId="0" fontId="6" fillId="7" borderId="20" xfId="0" applyFont="1" applyFill="1" applyBorder="1" applyAlignment="1">
      <alignment horizontal="center"/>
    </xf>
    <xf numFmtId="0" fontId="6" fillId="7" borderId="21" xfId="0" applyFont="1" applyFill="1" applyBorder="1" applyAlignment="1">
      <alignment horizontal="center"/>
    </xf>
    <xf numFmtId="0" fontId="6" fillId="7" borderId="18" xfId="0" applyFont="1" applyFill="1" applyBorder="1" applyAlignment="1">
      <alignment horizontal="center"/>
    </xf>
    <xf numFmtId="0" fontId="6" fillId="7" borderId="2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0" fontId="2" fillId="0" borderId="0" xfId="3" applyAlignment="1" applyProtection="1">
      <alignment horizontal="center"/>
    </xf>
    <xf numFmtId="0" fontId="10" fillId="0" borderId="0" xfId="0" applyFont="1"/>
    <xf numFmtId="0" fontId="6" fillId="6" borderId="7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6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</cellXfs>
  <cellStyles count="5">
    <cellStyle name="cabecera" xfId="1"/>
    <cellStyle name="columna izquierda" xfId="2"/>
    <cellStyle name="Hipervínculo" xfId="3" builtinId="8"/>
    <cellStyle name="Normal" xfId="0" builtinId="0"/>
    <cellStyle name="totales" xfId="4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'Evolución de los pacientes'!$F$3</c:f>
              <c:strCache>
                <c:ptCount val="1"/>
                <c:pt idx="0">
                  <c:v>Índice de masa corporal inicial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'Evolución de los pacientes'!$A$4:$A$12</c:f>
              <c:numCache>
                <c:formatCode>General</c:formatCode>
                <c:ptCount val="9"/>
                <c:pt idx="0">
                  <c:v>11111111</c:v>
                </c:pt>
                <c:pt idx="1">
                  <c:v>22222222</c:v>
                </c:pt>
                <c:pt idx="2">
                  <c:v>33333333</c:v>
                </c:pt>
                <c:pt idx="3">
                  <c:v>44444444</c:v>
                </c:pt>
                <c:pt idx="4">
                  <c:v>55555555</c:v>
                </c:pt>
                <c:pt idx="5">
                  <c:v>66666666</c:v>
                </c:pt>
                <c:pt idx="6">
                  <c:v>77777777</c:v>
                </c:pt>
                <c:pt idx="7">
                  <c:v>88888888</c:v>
                </c:pt>
                <c:pt idx="8">
                  <c:v>99999999</c:v>
                </c:pt>
              </c:numCache>
            </c:numRef>
          </c:cat>
          <c:val>
            <c:numRef>
              <c:f>'Evolución de los pacientes'!$F$4:$F$12</c:f>
              <c:numCache>
                <c:formatCode>General</c:formatCode>
                <c:ptCount val="9"/>
                <c:pt idx="0">
                  <c:v>23.046874999999996</c:v>
                </c:pt>
                <c:pt idx="1">
                  <c:v>26.122448979591837</c:v>
                </c:pt>
                <c:pt idx="2">
                  <c:v>27.055150884495315</c:v>
                </c:pt>
                <c:pt idx="3">
                  <c:v>22.720438370810918</c:v>
                </c:pt>
                <c:pt idx="4">
                  <c:v>24.653739612188367</c:v>
                </c:pt>
                <c:pt idx="5">
                  <c:v>18.798334324806664</c:v>
                </c:pt>
                <c:pt idx="6">
                  <c:v>21.453573713726524</c:v>
                </c:pt>
                <c:pt idx="7">
                  <c:v>19.146722164412068</c:v>
                </c:pt>
                <c:pt idx="8">
                  <c:v>26.122448979591837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E8-42C1-8761-74AFCA467BC4}"/>
            </c:ext>
          </c:extLst>
        </c:ser>
        <c:ser>
          <c:idx val="1"/>
          <c:order val="1"/>
          <c:tx>
            <c:strRef>
              <c:f>'Evolución de los pacientes'!$I$3</c:f>
              <c:strCache>
                <c:ptCount val="1"/>
                <c:pt idx="0">
                  <c:v>índice de masa corporal enero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'Evolución de los pacientes'!$A$4:$A$12</c:f>
              <c:numCache>
                <c:formatCode>General</c:formatCode>
                <c:ptCount val="9"/>
                <c:pt idx="0">
                  <c:v>11111111</c:v>
                </c:pt>
                <c:pt idx="1">
                  <c:v>22222222</c:v>
                </c:pt>
                <c:pt idx="2">
                  <c:v>33333333</c:v>
                </c:pt>
                <c:pt idx="3">
                  <c:v>44444444</c:v>
                </c:pt>
                <c:pt idx="4">
                  <c:v>55555555</c:v>
                </c:pt>
                <c:pt idx="5">
                  <c:v>66666666</c:v>
                </c:pt>
                <c:pt idx="6">
                  <c:v>77777777</c:v>
                </c:pt>
                <c:pt idx="7">
                  <c:v>88888888</c:v>
                </c:pt>
                <c:pt idx="8">
                  <c:v>99999999</c:v>
                </c:pt>
              </c:numCache>
            </c:numRef>
          </c:cat>
          <c:val>
            <c:numRef>
              <c:f>'Evolución de los pacientes'!$I$4:$I$12</c:f>
              <c:numCache>
                <c:formatCode>General</c:formatCode>
                <c:ptCount val="9"/>
                <c:pt idx="0">
                  <c:v>23.437499999999996</c:v>
                </c:pt>
                <c:pt idx="1">
                  <c:v>25.469387755102041</c:v>
                </c:pt>
                <c:pt idx="2">
                  <c:v>26.22268470343392</c:v>
                </c:pt>
                <c:pt idx="3">
                  <c:v>21.718066089745729</c:v>
                </c:pt>
                <c:pt idx="4">
                  <c:v>24.930747922437675</c:v>
                </c:pt>
                <c:pt idx="5">
                  <c:v>20.226055919095778</c:v>
                </c:pt>
                <c:pt idx="6">
                  <c:v>21.829952199932254</c:v>
                </c:pt>
                <c:pt idx="7">
                  <c:v>20.39542143600416</c:v>
                </c:pt>
                <c:pt idx="8">
                  <c:v>25.795918367346939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E8-42C1-8761-74AFCA467BC4}"/>
            </c:ext>
          </c:extLst>
        </c:ser>
        <c:ser>
          <c:idx val="2"/>
          <c:order val="2"/>
          <c:tx>
            <c:strRef>
              <c:f>'Evolución de los pacientes'!$L$3</c:f>
              <c:strCache>
                <c:ptCount val="1"/>
                <c:pt idx="0">
                  <c:v>índice de masa corporal febrero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'Evolución de los pacientes'!$A$4:$A$12</c:f>
              <c:numCache>
                <c:formatCode>General</c:formatCode>
                <c:ptCount val="9"/>
                <c:pt idx="0">
                  <c:v>11111111</c:v>
                </c:pt>
                <c:pt idx="1">
                  <c:v>22222222</c:v>
                </c:pt>
                <c:pt idx="2">
                  <c:v>33333333</c:v>
                </c:pt>
                <c:pt idx="3">
                  <c:v>44444444</c:v>
                </c:pt>
                <c:pt idx="4">
                  <c:v>55555555</c:v>
                </c:pt>
                <c:pt idx="5">
                  <c:v>66666666</c:v>
                </c:pt>
                <c:pt idx="6">
                  <c:v>77777777</c:v>
                </c:pt>
                <c:pt idx="7">
                  <c:v>88888888</c:v>
                </c:pt>
                <c:pt idx="8">
                  <c:v>99999999</c:v>
                </c:pt>
              </c:numCache>
            </c:numRef>
          </c:cat>
          <c:val>
            <c:numRef>
              <c:f>'Evolución de los pacientes'!$L$4:$L$12</c:f>
              <c:numCache>
                <c:formatCode>General</c:formatCode>
                <c:ptCount val="9"/>
                <c:pt idx="0">
                  <c:v>23.437499999999996</c:v>
                </c:pt>
                <c:pt idx="1">
                  <c:v>25.142857142857142</c:v>
                </c:pt>
                <c:pt idx="2">
                  <c:v>24.557752341311129</c:v>
                </c:pt>
                <c:pt idx="3">
                  <c:v>21.718066089745729</c:v>
                </c:pt>
                <c:pt idx="4">
                  <c:v>24.930747922437675</c:v>
                </c:pt>
                <c:pt idx="5">
                  <c:v>20.70196311719215</c:v>
                </c:pt>
                <c:pt idx="6">
                  <c:v>21.829952199932254</c:v>
                </c:pt>
                <c:pt idx="7">
                  <c:v>20.811654526534856</c:v>
                </c:pt>
                <c:pt idx="8">
                  <c:v>25.142857142857142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E8-42C1-8761-74AFCA467B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80992"/>
        <c:axId val="202882240"/>
      </c:barChart>
      <c:catAx>
        <c:axId val="20288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882240"/>
        <c:crosses val="autoZero"/>
        <c:auto val="1"/>
        <c:lblAlgn val="ctr"/>
        <c:lblOffset val="100"/>
        <c:noMultiLvlLbl val="0"/>
      </c:catAx>
      <c:valAx>
        <c:axId val="20288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2880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google.es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2486025</xdr:colOff>
      <xdr:row>5</xdr:row>
      <xdr:rowOff>85725</xdr:rowOff>
    </xdr:from>
    <xdr:to>
      <xdr:col>2</xdr:col>
      <xdr:colOff>104775</xdr:colOff>
      <xdr:row>5</xdr:row>
      <xdr:rowOff>142874</xdr:rowOff>
    </xdr:to>
    <xdr:sp macro="" textlink="">
      <xdr:nvSpPr>
        <xdr:cNvPr id="3" name="2 Flecha derecha"/>
        <xdr:cNvSpPr/>
      </xdr:nvSpPr>
      <xdr:spPr>
        <a:xfrm>
          <a:off x="3533775" y="1038225"/>
          <a:ext cx="266700" cy="57149"/>
        </a:xfrm>
        <a:prstGeom prst="rightArrow">
          <a:avLst/>
        </a:prstGeom>
        <a:solidFill>
          <a:schemeClr val="accent2">
            <a:lumMod val="50000"/>
            <a:alpha val="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1</xdr:col>
      <xdr:colOff>2476500</xdr:colOff>
      <xdr:row>6</xdr:row>
      <xdr:rowOff>95250</xdr:rowOff>
    </xdr:from>
    <xdr:to>
      <xdr:col>2</xdr:col>
      <xdr:colOff>95250</xdr:colOff>
      <xdr:row>6</xdr:row>
      <xdr:rowOff>152399</xdr:rowOff>
    </xdr:to>
    <xdr:sp macro="" textlink="">
      <xdr:nvSpPr>
        <xdr:cNvPr id="4" name="3 Flecha derecha"/>
        <xdr:cNvSpPr/>
      </xdr:nvSpPr>
      <xdr:spPr>
        <a:xfrm>
          <a:off x="3524250" y="1247775"/>
          <a:ext cx="266700" cy="57149"/>
        </a:xfrm>
        <a:prstGeom prst="rightArrow">
          <a:avLst/>
        </a:prstGeom>
        <a:solidFill>
          <a:schemeClr val="accent2">
            <a:lumMod val="50000"/>
            <a:alpha val="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>
    <xdr:from>
      <xdr:col>1</xdr:col>
      <xdr:colOff>2476500</xdr:colOff>
      <xdr:row>7</xdr:row>
      <xdr:rowOff>95250</xdr:rowOff>
    </xdr:from>
    <xdr:to>
      <xdr:col>2</xdr:col>
      <xdr:colOff>95250</xdr:colOff>
      <xdr:row>7</xdr:row>
      <xdr:rowOff>152399</xdr:rowOff>
    </xdr:to>
    <xdr:sp macro="" textlink="">
      <xdr:nvSpPr>
        <xdr:cNvPr id="5" name="4 Flecha derecha"/>
        <xdr:cNvSpPr/>
      </xdr:nvSpPr>
      <xdr:spPr>
        <a:xfrm>
          <a:off x="3524250" y="1447800"/>
          <a:ext cx="266700" cy="57149"/>
        </a:xfrm>
        <a:prstGeom prst="rightArrow">
          <a:avLst/>
        </a:prstGeom>
        <a:solidFill>
          <a:schemeClr val="accent2">
            <a:lumMod val="50000"/>
            <a:alpha val="0"/>
          </a:schemeClr>
        </a:solidFill>
        <a:ln>
          <a:solidFill>
            <a:schemeClr val="accent2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ES"/>
        </a:p>
      </xdr:txBody>
    </xdr:sp>
    <xdr:clientData/>
  </xdr:twoCellAnchor>
  <xdr:twoCellAnchor editAs="oneCell">
    <xdr:from>
      <xdr:col>2</xdr:col>
      <xdr:colOff>609600</xdr:colOff>
      <xdr:row>0</xdr:row>
      <xdr:rowOff>76200</xdr:rowOff>
    </xdr:from>
    <xdr:to>
      <xdr:col>2</xdr:col>
      <xdr:colOff>2143125</xdr:colOff>
      <xdr:row>3</xdr:row>
      <xdr:rowOff>781050</xdr:rowOff>
    </xdr:to>
    <xdr:pic>
      <xdr:nvPicPr>
        <xdr:cNvPr id="1074" name="7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76200"/>
          <a:ext cx="1533525" cy="1276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47625</xdr:rowOff>
    </xdr:from>
    <xdr:to>
      <xdr:col>1</xdr:col>
      <xdr:colOff>466725</xdr:colOff>
      <xdr:row>3</xdr:row>
      <xdr:rowOff>809625</xdr:rowOff>
    </xdr:to>
    <xdr:pic>
      <xdr:nvPicPr>
        <xdr:cNvPr id="1075" name="8 Imagen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47625"/>
          <a:ext cx="1390650" cy="1333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207010</xdr:colOff>
      <xdr:row>8</xdr:row>
      <xdr:rowOff>123825</xdr:rowOff>
    </xdr:from>
    <xdr:ext cx="3888740" cy="843693"/>
    <xdr:sp macro="" textlink="">
      <xdr:nvSpPr>
        <xdr:cNvPr id="7" name="6 Rectángulo">
          <a:hlinkClick xmlns:r="http://schemas.openxmlformats.org/officeDocument/2006/relationships" r:id="rId3"/>
        </xdr:cNvPr>
        <xdr:cNvSpPr/>
      </xdr:nvSpPr>
      <xdr:spPr>
        <a:xfrm>
          <a:off x="207010" y="2324100"/>
          <a:ext cx="3888740" cy="843693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>
            <a:lnSpc>
              <a:spcPts val="2700"/>
            </a:lnSpc>
          </a:pPr>
          <a:r>
            <a:rPr lang="es-ES" sz="2400" b="1" cap="none" spc="0">
              <a:ln w="18000">
                <a:solidFill>
                  <a:schemeClr val="accent2">
                    <a:satMod val="140000"/>
                  </a:schemeClr>
                </a:solidFill>
                <a:prstDash val="solid"/>
                <a:miter lim="800000"/>
              </a:ln>
              <a:noFill/>
              <a:effectLst>
                <a:outerShdw blurRad="25500" dist="23000" dir="7020000" algn="tl">
                  <a:srgbClr val="000000">
                    <a:alpha val="50000"/>
                  </a:srgbClr>
                </a:outerShdw>
              </a:effectLst>
            </a:rPr>
            <a:t>Más información en www.clinica_nutricion.com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193301</xdr:colOff>
      <xdr:row>12</xdr:row>
      <xdr:rowOff>57150</xdr:rowOff>
    </xdr:from>
    <xdr:to>
      <xdr:col>12</xdr:col>
      <xdr:colOff>145676</xdr:colOff>
      <xdr:row>29</xdr:row>
      <xdr:rowOff>22411</xdr:rowOff>
    </xdr:to>
    <xdr:graphicFrame macro="">
      <xdr:nvGraphicFramePr>
        <xdr:cNvPr id="4" name="Grá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6" sqref="C6"/>
    </sheetView>
  </sheetViews>
  <sheetFormatPr baseColWidth="10" defaultRowHeight="15" x14ac:dyDescent="0.25"/>
  <cols>
    <col min="1" max="1" width="15.7109375" customWidth="1"/>
    <col min="2" max="2" width="39.7109375" customWidth="1"/>
    <col min="3" max="3" width="33" customWidth="1"/>
    <col min="4" max="4" width="11.85546875" customWidth="1"/>
    <col min="5" max="5" width="12.140625" customWidth="1"/>
    <col min="6" max="6" width="11.5703125" customWidth="1"/>
    <col min="7" max="7" width="12" customWidth="1"/>
    <col min="8" max="8" width="13.5703125" customWidth="1"/>
  </cols>
  <sheetData>
    <row r="1" spans="1:3" x14ac:dyDescent="0.25">
      <c r="A1" s="26" t="s">
        <v>0</v>
      </c>
      <c r="B1" s="27"/>
      <c r="C1" s="27"/>
    </row>
    <row r="2" spans="1:3" x14ac:dyDescent="0.25">
      <c r="A2" s="27"/>
      <c r="B2" s="27"/>
      <c r="C2" s="27"/>
    </row>
    <row r="3" spans="1:3" x14ac:dyDescent="0.25">
      <c r="A3" s="27"/>
      <c r="B3" s="27"/>
      <c r="C3" s="27"/>
    </row>
    <row r="4" spans="1:3" ht="66" customHeight="1" x14ac:dyDescent="0.25">
      <c r="A4" s="27"/>
      <c r="B4" s="27"/>
      <c r="C4" s="27"/>
    </row>
    <row r="5" spans="1:3" x14ac:dyDescent="0.25">
      <c r="C5" s="1"/>
    </row>
    <row r="6" spans="1:3" ht="15.75" x14ac:dyDescent="0.25">
      <c r="A6" s="28" t="s">
        <v>54</v>
      </c>
      <c r="B6" s="28"/>
      <c r="C6" s="38" t="s">
        <v>57</v>
      </c>
    </row>
    <row r="7" spans="1:3" ht="15.75" x14ac:dyDescent="0.25">
      <c r="A7" s="28" t="s">
        <v>55</v>
      </c>
      <c r="B7" s="28"/>
      <c r="C7" s="38" t="s">
        <v>57</v>
      </c>
    </row>
    <row r="8" spans="1:3" ht="15.75" x14ac:dyDescent="0.25">
      <c r="A8" s="28" t="s">
        <v>56</v>
      </c>
      <c r="B8" s="28"/>
      <c r="C8" s="38" t="s">
        <v>57</v>
      </c>
    </row>
  </sheetData>
  <mergeCells count="4">
    <mergeCell ref="A1:C4"/>
    <mergeCell ref="A6:B6"/>
    <mergeCell ref="A7:B7"/>
    <mergeCell ref="A8:B8"/>
  </mergeCells>
  <hyperlinks>
    <hyperlink ref="C8" location="'Evolución de los pacientes'!A1" display="ir pagina"/>
    <hyperlink ref="C6" location="'Valores índ. masa corporal'!A1" display="ir pagina"/>
    <hyperlink ref="C7" location="'Estudio nutricional'!A1" display="ir pagina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>
      <selection activeCell="H23" sqref="H23"/>
    </sheetView>
  </sheetViews>
  <sheetFormatPr baseColWidth="10" defaultRowHeight="15" x14ac:dyDescent="0.25"/>
  <sheetData>
    <row r="1" spans="1:2" x14ac:dyDescent="0.25">
      <c r="A1" s="1">
        <v>0</v>
      </c>
      <c r="B1" s="1" t="s">
        <v>1</v>
      </c>
    </row>
    <row r="2" spans="1:2" x14ac:dyDescent="0.25">
      <c r="A2" s="1">
        <v>1</v>
      </c>
      <c r="B2" s="1" t="s">
        <v>2</v>
      </c>
    </row>
    <row r="3" spans="1:2" x14ac:dyDescent="0.25">
      <c r="A3" s="1">
        <v>2</v>
      </c>
      <c r="B3" s="1" t="s">
        <v>3</v>
      </c>
    </row>
    <row r="4" spans="1:2" x14ac:dyDescent="0.25">
      <c r="A4" s="1">
        <v>3</v>
      </c>
      <c r="B4" s="1" t="s">
        <v>4</v>
      </c>
    </row>
    <row r="5" spans="1:2" x14ac:dyDescent="0.25">
      <c r="A5" s="1">
        <v>4</v>
      </c>
      <c r="B5" s="1" t="s">
        <v>5</v>
      </c>
    </row>
    <row r="6" spans="1:2" x14ac:dyDescent="0.25">
      <c r="A6" s="1">
        <v>5</v>
      </c>
      <c r="B6" s="1" t="s">
        <v>6</v>
      </c>
    </row>
    <row r="7" spans="1:2" x14ac:dyDescent="0.25">
      <c r="A7" s="1">
        <v>6</v>
      </c>
      <c r="B7" s="1" t="s">
        <v>7</v>
      </c>
    </row>
    <row r="8" spans="1:2" x14ac:dyDescent="0.25">
      <c r="A8" s="1">
        <v>7</v>
      </c>
      <c r="B8" s="1" t="s">
        <v>8</v>
      </c>
    </row>
    <row r="9" spans="1:2" x14ac:dyDescent="0.25">
      <c r="A9" s="1">
        <v>8</v>
      </c>
      <c r="B9" s="1" t="s">
        <v>9</v>
      </c>
    </row>
    <row r="10" spans="1:2" x14ac:dyDescent="0.25">
      <c r="A10" s="1">
        <v>9</v>
      </c>
      <c r="B10" s="1" t="s">
        <v>10</v>
      </c>
    </row>
    <row r="11" spans="1:2" x14ac:dyDescent="0.25">
      <c r="A11" s="1">
        <v>10</v>
      </c>
      <c r="B11" s="1" t="s">
        <v>11</v>
      </c>
    </row>
    <row r="12" spans="1:2" x14ac:dyDescent="0.25">
      <c r="A12" s="1">
        <v>11</v>
      </c>
      <c r="B12" s="1" t="s">
        <v>12</v>
      </c>
    </row>
    <row r="13" spans="1:2" x14ac:dyDescent="0.25">
      <c r="A13" s="1">
        <v>12</v>
      </c>
      <c r="B13" s="1" t="s">
        <v>13</v>
      </c>
    </row>
    <row r="14" spans="1:2" x14ac:dyDescent="0.25">
      <c r="A14" s="1">
        <v>13</v>
      </c>
      <c r="B14" s="1" t="s">
        <v>14</v>
      </c>
    </row>
    <row r="15" spans="1:2" x14ac:dyDescent="0.25">
      <c r="A15" s="1">
        <v>14</v>
      </c>
      <c r="B15" s="1" t="s">
        <v>15</v>
      </c>
    </row>
    <row r="16" spans="1:2" x14ac:dyDescent="0.25">
      <c r="A16" s="1">
        <v>15</v>
      </c>
      <c r="B16" s="1" t="s">
        <v>16</v>
      </c>
    </row>
    <row r="17" spans="1:2" x14ac:dyDescent="0.25">
      <c r="A17" s="1">
        <v>16</v>
      </c>
      <c r="B17" s="1" t="s">
        <v>17</v>
      </c>
    </row>
    <row r="18" spans="1:2" x14ac:dyDescent="0.25">
      <c r="A18" s="1">
        <v>17</v>
      </c>
      <c r="B18" s="1" t="s">
        <v>18</v>
      </c>
    </row>
    <row r="19" spans="1:2" x14ac:dyDescent="0.25">
      <c r="A19" s="1">
        <v>18</v>
      </c>
      <c r="B19" s="1" t="s">
        <v>19</v>
      </c>
    </row>
    <row r="20" spans="1:2" x14ac:dyDescent="0.25">
      <c r="A20" s="1">
        <v>19</v>
      </c>
      <c r="B20" s="1" t="s">
        <v>20</v>
      </c>
    </row>
    <row r="21" spans="1:2" x14ac:dyDescent="0.25">
      <c r="A21" s="1">
        <v>20</v>
      </c>
      <c r="B21" s="1" t="s">
        <v>21</v>
      </c>
    </row>
    <row r="22" spans="1:2" x14ac:dyDescent="0.25">
      <c r="A22" s="1">
        <v>21</v>
      </c>
      <c r="B22" s="1" t="s">
        <v>22</v>
      </c>
    </row>
    <row r="23" spans="1:2" x14ac:dyDescent="0.25">
      <c r="A23" s="1">
        <v>22</v>
      </c>
      <c r="B23" s="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sqref="A1:B1"/>
    </sheetView>
  </sheetViews>
  <sheetFormatPr baseColWidth="10" defaultRowHeight="15" x14ac:dyDescent="0.25"/>
  <cols>
    <col min="1" max="1" width="20.85546875" customWidth="1"/>
    <col min="2" max="2" width="16.85546875" customWidth="1"/>
    <col min="3" max="3" width="22.7109375" customWidth="1"/>
  </cols>
  <sheetData>
    <row r="1" spans="1:4" x14ac:dyDescent="0.25">
      <c r="A1" s="29" t="s">
        <v>36</v>
      </c>
      <c r="B1" s="29"/>
      <c r="C1" s="4" t="s">
        <v>37</v>
      </c>
      <c r="D1" s="3"/>
    </row>
    <row r="2" spans="1:4" x14ac:dyDescent="0.25">
      <c r="A2" s="3" t="s">
        <v>39</v>
      </c>
      <c r="B2" s="3">
        <v>20</v>
      </c>
      <c r="C2" s="3" t="s">
        <v>32</v>
      </c>
      <c r="D2" s="3"/>
    </row>
    <row r="3" spans="1:4" x14ac:dyDescent="0.25">
      <c r="A3" s="3">
        <v>20</v>
      </c>
      <c r="B3" s="3">
        <v>25</v>
      </c>
      <c r="C3" s="3" t="s">
        <v>33</v>
      </c>
      <c r="D3" s="3"/>
    </row>
    <row r="4" spans="1:4" x14ac:dyDescent="0.25">
      <c r="A4" s="3">
        <v>25</v>
      </c>
      <c r="B4" s="3">
        <v>27</v>
      </c>
      <c r="C4" s="3" t="s">
        <v>34</v>
      </c>
      <c r="D4" s="3"/>
    </row>
    <row r="5" spans="1:4" x14ac:dyDescent="0.25">
      <c r="A5" s="3" t="s">
        <v>40</v>
      </c>
      <c r="B5" s="3">
        <v>27</v>
      </c>
      <c r="C5" s="3" t="s">
        <v>35</v>
      </c>
      <c r="D5" s="3"/>
    </row>
    <row r="6" spans="1:4" x14ac:dyDescent="0.25">
      <c r="A6" s="3"/>
      <c r="B6" s="3"/>
      <c r="C6" s="3"/>
      <c r="D6" s="3"/>
    </row>
    <row r="7" spans="1:4" x14ac:dyDescent="0.25">
      <c r="A7" s="3"/>
      <c r="B7" s="3"/>
      <c r="C7" s="3"/>
      <c r="D7" s="3"/>
    </row>
    <row r="11" spans="1:4" x14ac:dyDescent="0.25">
      <c r="A11" s="2"/>
    </row>
    <row r="12" spans="1:4" x14ac:dyDescent="0.25">
      <c r="A12" s="2"/>
    </row>
    <row r="13" spans="1:4" x14ac:dyDescent="0.25">
      <c r="A13" s="2"/>
    </row>
    <row r="14" spans="1:4" x14ac:dyDescent="0.25">
      <c r="A14" s="2"/>
    </row>
    <row r="15" spans="1:4" x14ac:dyDescent="0.25">
      <c r="A15" s="2"/>
    </row>
    <row r="16" spans="1:4" x14ac:dyDescent="0.25">
      <c r="A16" s="2"/>
    </row>
    <row r="17" spans="1:1" x14ac:dyDescent="0.25">
      <c r="A17" s="2"/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baseColWidth="10" defaultRowHeight="15" x14ac:dyDescent="0.25"/>
  <cols>
    <col min="6" max="6" width="23.5703125" customWidth="1"/>
    <col min="7" max="7" width="20.42578125" customWidth="1"/>
    <col min="8" max="8" width="26.85546875" customWidth="1"/>
  </cols>
  <sheetData>
    <row r="1" spans="1:9" ht="15.75" thickBot="1" x14ac:dyDescent="0.3"/>
    <row r="2" spans="1:9" ht="20.25" thickTop="1" thickBot="1" x14ac:dyDescent="0.35">
      <c r="A2" s="30" t="s">
        <v>41</v>
      </c>
      <c r="B2" s="30"/>
      <c r="C2" s="30"/>
      <c r="D2" s="30" t="s">
        <v>42</v>
      </c>
      <c r="E2" s="30"/>
      <c r="F2" s="30"/>
      <c r="G2" s="30"/>
      <c r="H2" s="5" t="s">
        <v>43</v>
      </c>
    </row>
    <row r="3" spans="1:9" ht="31.5" thickTop="1" thickBot="1" x14ac:dyDescent="0.3">
      <c r="A3" s="6" t="s">
        <v>24</v>
      </c>
      <c r="B3" s="40" t="s">
        <v>25</v>
      </c>
      <c r="C3" s="8" t="s">
        <v>26</v>
      </c>
      <c r="D3" s="7" t="s">
        <v>27</v>
      </c>
      <c r="E3" s="7" t="s">
        <v>30</v>
      </c>
      <c r="F3" s="7" t="s">
        <v>31</v>
      </c>
      <c r="G3" s="7" t="s">
        <v>38</v>
      </c>
      <c r="H3" s="9" t="s">
        <v>45</v>
      </c>
    </row>
    <row r="4" spans="1:9" ht="15.75" thickTop="1" x14ac:dyDescent="0.25">
      <c r="A4" s="48">
        <v>11111111</v>
      </c>
      <c r="B4" s="10" t="str">
        <f>VLOOKUP(I4,'Letra NIF'!$A$1:$B$23,2,0)</f>
        <v>H</v>
      </c>
      <c r="C4" s="51" t="s">
        <v>19</v>
      </c>
      <c r="D4" s="48">
        <v>1.6</v>
      </c>
      <c r="E4" s="51">
        <v>59</v>
      </c>
      <c r="F4" s="10">
        <f>E4/D4^2</f>
        <v>23.046874999999996</v>
      </c>
      <c r="G4" s="13" t="str">
        <f t="shared" ref="G4:G13" si="0">IF(F4&lt;20,"BAJO PESO",IF(F4&lt;25,"peso normal",IF(F4&lt;27,"SOBREPESO",IF(F4&gt;27,"SOBREPESO CRONICO"))))</f>
        <v>peso normal</v>
      </c>
      <c r="H4" s="11" t="str">
        <f>IF(G4="peso normal","NO",IF(G4="SOBREPESO","SI",IF(G4="SOBREPESO CRONICO","SI",IF(G4="BAJO PESO","SI"))))</f>
        <v>NO</v>
      </c>
      <c r="I4" s="39">
        <f>MOD(A4,23)</f>
        <v>18</v>
      </c>
    </row>
    <row r="5" spans="1:9" x14ac:dyDescent="0.25">
      <c r="A5" s="49">
        <v>22222222</v>
      </c>
      <c r="B5" s="12" t="str">
        <f>VLOOKUP(I5,'Letra NIF'!$A$1:$B$23,2,0)</f>
        <v>J</v>
      </c>
      <c r="C5" s="52" t="s">
        <v>19</v>
      </c>
      <c r="D5" s="49">
        <v>1.75</v>
      </c>
      <c r="E5" s="52">
        <v>80</v>
      </c>
      <c r="F5" s="12">
        <f t="shared" ref="F5:F12" si="1">E5/D5^2</f>
        <v>26.122448979591837</v>
      </c>
      <c r="G5" s="13" t="str">
        <f t="shared" si="0"/>
        <v>SOBREPESO</v>
      </c>
      <c r="H5" s="41" t="str">
        <f t="shared" ref="H5:H13" si="2">IF(G5="peso normal","NO",IF(G5="SOBREPESO","SI",IF(G5="SOBREPESO CRONICO","SI",IF(G5="BAJO PESO","SI"))))</f>
        <v>SI</v>
      </c>
      <c r="I5" s="39">
        <f t="shared" ref="I5:I12" si="3">MOD(A5,23)</f>
        <v>13</v>
      </c>
    </row>
    <row r="6" spans="1:9" x14ac:dyDescent="0.25">
      <c r="A6" s="49">
        <v>33333333</v>
      </c>
      <c r="B6" s="12" t="str">
        <f>VLOOKUP(I6,'Letra NIF'!$A$1:$B$23,2,0)</f>
        <v>P</v>
      </c>
      <c r="C6" s="52" t="s">
        <v>6</v>
      </c>
      <c r="D6" s="49">
        <v>1.49</v>
      </c>
      <c r="E6" s="52">
        <v>69</v>
      </c>
      <c r="F6" s="12">
        <f t="shared" si="1"/>
        <v>31.079681095446151</v>
      </c>
      <c r="G6" s="13" t="str">
        <f t="shared" si="0"/>
        <v>SOBREPESO CRONICO</v>
      </c>
      <c r="H6" s="41" t="str">
        <f t="shared" si="2"/>
        <v>SI</v>
      </c>
      <c r="I6" s="39">
        <f t="shared" si="3"/>
        <v>8</v>
      </c>
    </row>
    <row r="7" spans="1:9" x14ac:dyDescent="0.25">
      <c r="A7" s="49">
        <v>44444444</v>
      </c>
      <c r="B7" s="12" t="str">
        <f>VLOOKUP(I7,'Letra NIF'!$A$1:$B$23,2,0)</f>
        <v>A</v>
      </c>
      <c r="C7" s="52" t="s">
        <v>6</v>
      </c>
      <c r="D7" s="49">
        <v>1.73</v>
      </c>
      <c r="E7" s="52">
        <v>68</v>
      </c>
      <c r="F7" s="12">
        <f t="shared" si="1"/>
        <v>22.720438370810918</v>
      </c>
      <c r="G7" s="13" t="str">
        <f t="shared" si="0"/>
        <v>peso normal</v>
      </c>
      <c r="H7" s="41" t="str">
        <f t="shared" si="2"/>
        <v>NO</v>
      </c>
      <c r="I7" s="39">
        <f t="shared" si="3"/>
        <v>3</v>
      </c>
    </row>
    <row r="8" spans="1:9" x14ac:dyDescent="0.25">
      <c r="A8" s="49">
        <v>55555555</v>
      </c>
      <c r="B8" s="12" t="str">
        <f>VLOOKUP(I8,'Letra NIF'!$A$1:$B$23,2,0)</f>
        <v>K</v>
      </c>
      <c r="C8" s="52" t="s">
        <v>19</v>
      </c>
      <c r="D8" s="49">
        <v>1.9</v>
      </c>
      <c r="E8" s="52">
        <v>89</v>
      </c>
      <c r="F8" s="12">
        <f t="shared" si="1"/>
        <v>24.653739612188367</v>
      </c>
      <c r="G8" s="13" t="str">
        <f t="shared" si="0"/>
        <v>peso normal</v>
      </c>
      <c r="H8" s="41" t="str">
        <f t="shared" si="2"/>
        <v>NO</v>
      </c>
      <c r="I8" s="39">
        <f t="shared" si="3"/>
        <v>21</v>
      </c>
    </row>
    <row r="9" spans="1:9" x14ac:dyDescent="0.25">
      <c r="A9" s="49">
        <v>66666666</v>
      </c>
      <c r="B9" s="12" t="str">
        <f>VLOOKUP(I9,'Letra NIF'!$A$1:$B$23,2,0)</f>
        <v>Q</v>
      </c>
      <c r="C9" s="52" t="s">
        <v>19</v>
      </c>
      <c r="D9" s="49">
        <v>2.0499999999999998</v>
      </c>
      <c r="E9" s="52">
        <v>79</v>
      </c>
      <c r="F9" s="12">
        <f t="shared" si="1"/>
        <v>18.798334324806664</v>
      </c>
      <c r="G9" s="13" t="str">
        <f t="shared" si="0"/>
        <v>BAJO PESO</v>
      </c>
      <c r="H9" s="41" t="str">
        <f t="shared" si="2"/>
        <v>SI</v>
      </c>
      <c r="I9" s="39">
        <f t="shared" si="3"/>
        <v>16</v>
      </c>
    </row>
    <row r="10" spans="1:9" x14ac:dyDescent="0.25">
      <c r="A10" s="49">
        <v>77777777</v>
      </c>
      <c r="B10" s="12" t="str">
        <f>VLOOKUP(I10,'Letra NIF'!$A$1:$B$23,2,0)</f>
        <v>B</v>
      </c>
      <c r="C10" s="52" t="s">
        <v>6</v>
      </c>
      <c r="D10" s="49">
        <v>1.63</v>
      </c>
      <c r="E10" s="52">
        <v>57</v>
      </c>
      <c r="F10" s="12">
        <f t="shared" si="1"/>
        <v>21.453573713726524</v>
      </c>
      <c r="G10" s="13" t="str">
        <f t="shared" si="0"/>
        <v>peso normal</v>
      </c>
      <c r="H10" s="41" t="str">
        <f t="shared" si="2"/>
        <v>NO</v>
      </c>
      <c r="I10" s="39">
        <f t="shared" si="3"/>
        <v>11</v>
      </c>
    </row>
    <row r="11" spans="1:9" x14ac:dyDescent="0.25">
      <c r="A11" s="49">
        <v>88888888</v>
      </c>
      <c r="B11" s="12" t="str">
        <f>VLOOKUP(I11,'Letra NIF'!$A$1:$B$23,2,0)</f>
        <v>Y</v>
      </c>
      <c r="C11" s="52" t="s">
        <v>19</v>
      </c>
      <c r="D11" s="49">
        <v>1.55</v>
      </c>
      <c r="E11" s="52">
        <v>46</v>
      </c>
      <c r="F11" s="12">
        <f t="shared" si="1"/>
        <v>19.146722164412068</v>
      </c>
      <c r="G11" s="13" t="str">
        <f t="shared" si="0"/>
        <v>BAJO PESO</v>
      </c>
      <c r="H11" s="41" t="str">
        <f t="shared" si="2"/>
        <v>SI</v>
      </c>
      <c r="I11" s="39">
        <f t="shared" si="3"/>
        <v>6</v>
      </c>
    </row>
    <row r="12" spans="1:9" ht="15.75" thickBot="1" x14ac:dyDescent="0.3">
      <c r="A12" s="50">
        <v>99999999</v>
      </c>
      <c r="B12" s="14" t="str">
        <f>VLOOKUP(I12,'Letra NIF'!$A$1:$B$23,2,0)</f>
        <v>R</v>
      </c>
      <c r="C12" s="53" t="s">
        <v>19</v>
      </c>
      <c r="D12" s="50">
        <v>1.75</v>
      </c>
      <c r="E12" s="53">
        <v>80</v>
      </c>
      <c r="F12" s="12">
        <f t="shared" si="1"/>
        <v>26.122448979591837</v>
      </c>
      <c r="G12" s="15" t="str">
        <f t="shared" si="0"/>
        <v>SOBREPESO</v>
      </c>
      <c r="H12" s="42" t="str">
        <f t="shared" si="2"/>
        <v>SI</v>
      </c>
      <c r="I12" s="39">
        <f t="shared" si="3"/>
        <v>1</v>
      </c>
    </row>
    <row r="13" spans="1:9" ht="16.5" thickTop="1" thickBot="1" x14ac:dyDescent="0.3">
      <c r="F13" s="19">
        <f>AVERAGE(F4:F12)</f>
        <v>23.68269580450826</v>
      </c>
      <c r="G13" s="43"/>
      <c r="H13" s="44"/>
    </row>
    <row r="14" spans="1:9" ht="16.5" thickTop="1" thickBot="1" x14ac:dyDescent="0.3"/>
    <row r="15" spans="1:9" ht="16.5" thickTop="1" thickBot="1" x14ac:dyDescent="0.3">
      <c r="A15" s="31" t="s">
        <v>28</v>
      </c>
      <c r="B15" s="32"/>
      <c r="C15" s="32"/>
      <c r="D15" s="16">
        <f>COUNT(A4:A12)</f>
        <v>9</v>
      </c>
    </row>
    <row r="16" spans="1:9" ht="15.75" thickTop="1" x14ac:dyDescent="0.25">
      <c r="A16" s="33" t="s">
        <v>29</v>
      </c>
      <c r="B16" s="34"/>
      <c r="C16" s="34"/>
      <c r="D16" s="17">
        <f>COUNTIF(C4:C12,"M")</f>
        <v>3</v>
      </c>
      <c r="F16" s="20" t="s">
        <v>52</v>
      </c>
      <c r="G16" s="16">
        <f>MAX(F4:F12)</f>
        <v>31.079681095446151</v>
      </c>
    </row>
    <row r="17" spans="1:7" ht="15.75" thickBot="1" x14ac:dyDescent="0.3">
      <c r="A17" s="33" t="s">
        <v>51</v>
      </c>
      <c r="B17" s="34"/>
      <c r="C17" s="34"/>
      <c r="D17" s="17">
        <f>COUNTIF(C4:C12,"H")</f>
        <v>6</v>
      </c>
      <c r="F17" s="21" t="s">
        <v>53</v>
      </c>
      <c r="G17" s="18">
        <f>MIN(F4:F12)</f>
        <v>18.798334324806664</v>
      </c>
    </row>
    <row r="18" spans="1:7" ht="16.5" thickTop="1" thickBot="1" x14ac:dyDescent="0.3">
      <c r="A18" s="35" t="s">
        <v>44</v>
      </c>
      <c r="B18" s="36"/>
      <c r="C18" s="36"/>
      <c r="D18" s="18">
        <f>COUNTIF(H4:H12,"SI")</f>
        <v>5</v>
      </c>
    </row>
    <row r="19" spans="1:7" ht="15.75" thickTop="1" x14ac:dyDescent="0.25"/>
  </sheetData>
  <sheetProtection sheet="1" objects="1" scenarios="1"/>
  <mergeCells count="6">
    <mergeCell ref="A18:C18"/>
    <mergeCell ref="A2:C2"/>
    <mergeCell ref="D2:G2"/>
    <mergeCell ref="A15:C15"/>
    <mergeCell ref="A16:C16"/>
    <mergeCell ref="A17:C17"/>
  </mergeCells>
  <conditionalFormatting sqref="G4:G12">
    <cfRule type="cellIs" dxfId="9" priority="4" operator="equal">
      <formula>"SOBREPESO"</formula>
    </cfRule>
    <cfRule type="cellIs" dxfId="8" priority="3" operator="equal">
      <formula>"SOBREPESO CRONICO"</formula>
    </cfRule>
    <cfRule type="cellIs" dxfId="7" priority="2" operator="equal">
      <formula>"BAJO PESO"</formula>
    </cfRule>
  </conditionalFormatting>
  <conditionalFormatting sqref="H4:H12">
    <cfRule type="cellIs" dxfId="6" priority="1" operator="equal">
      <formula>"SI"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zoomScale="85" zoomScaleNormal="85" workbookViewId="0"/>
  </sheetViews>
  <sheetFormatPr baseColWidth="10" defaultRowHeight="15" x14ac:dyDescent="0.25"/>
  <cols>
    <col min="2" max="2" width="6.7109375" customWidth="1"/>
    <col min="3" max="3" width="7.42578125" customWidth="1"/>
    <col min="4" max="4" width="9.5703125" customWidth="1"/>
    <col min="5" max="5" width="8.85546875" customWidth="1"/>
    <col min="6" max="6" width="14.42578125" customWidth="1"/>
    <col min="7" max="7" width="20.140625" bestFit="1" customWidth="1"/>
    <col min="8" max="8" width="8.28515625" customWidth="1"/>
    <col min="9" max="9" width="13.5703125" customWidth="1"/>
    <col min="10" max="10" width="15" customWidth="1"/>
    <col min="11" max="11" width="8.5703125" customWidth="1"/>
    <col min="12" max="12" width="15.7109375" customWidth="1"/>
    <col min="13" max="13" width="11.42578125" customWidth="1"/>
    <col min="14" max="14" width="17.140625" customWidth="1"/>
  </cols>
  <sheetData>
    <row r="1" spans="1:15" ht="15.75" thickBot="1" x14ac:dyDescent="0.3"/>
    <row r="2" spans="1:15" ht="20.25" thickTop="1" thickBot="1" x14ac:dyDescent="0.35">
      <c r="A2" s="37" t="s">
        <v>41</v>
      </c>
      <c r="B2" s="37"/>
      <c r="C2" s="37"/>
      <c r="D2" s="37" t="s">
        <v>42</v>
      </c>
      <c r="E2" s="37"/>
      <c r="F2" s="37"/>
      <c r="G2" s="37"/>
      <c r="H2" s="37" t="s">
        <v>48</v>
      </c>
      <c r="I2" s="37"/>
      <c r="J2" s="37"/>
      <c r="K2" s="37" t="s">
        <v>49</v>
      </c>
      <c r="L2" s="37"/>
      <c r="M2" s="37"/>
      <c r="N2" s="22" t="s">
        <v>43</v>
      </c>
    </row>
    <row r="3" spans="1:15" ht="46.5" thickTop="1" thickBot="1" x14ac:dyDescent="0.3">
      <c r="A3" s="23" t="s">
        <v>24</v>
      </c>
      <c r="B3" s="24" t="s">
        <v>25</v>
      </c>
      <c r="C3" s="24" t="s">
        <v>26</v>
      </c>
      <c r="D3" s="23" t="s">
        <v>27</v>
      </c>
      <c r="E3" s="24" t="s">
        <v>30</v>
      </c>
      <c r="F3" s="24" t="s">
        <v>46</v>
      </c>
      <c r="G3" s="25" t="s">
        <v>38</v>
      </c>
      <c r="H3" s="24" t="s">
        <v>47</v>
      </c>
      <c r="I3" s="24" t="s">
        <v>58</v>
      </c>
      <c r="J3" s="24" t="s">
        <v>38</v>
      </c>
      <c r="K3" s="23" t="s">
        <v>47</v>
      </c>
      <c r="L3" s="24" t="s">
        <v>59</v>
      </c>
      <c r="M3" s="25" t="s">
        <v>38</v>
      </c>
      <c r="N3" s="25" t="s">
        <v>50</v>
      </c>
    </row>
    <row r="4" spans="1:15" ht="16.5" thickTop="1" thickBot="1" x14ac:dyDescent="0.3">
      <c r="A4" s="48">
        <v>11111111</v>
      </c>
      <c r="B4" s="10" t="str">
        <f>VLOOKUP(O4,'Letra NIF'!$A$1:$B$23,2,0)</f>
        <v>H</v>
      </c>
      <c r="C4" s="51" t="s">
        <v>19</v>
      </c>
      <c r="D4" s="48">
        <v>1.6</v>
      </c>
      <c r="E4" s="10">
        <v>59</v>
      </c>
      <c r="F4" s="10">
        <f>E4/D4^2</f>
        <v>23.046874999999996</v>
      </c>
      <c r="G4" s="11" t="str">
        <f>IF(F4&lt;20,"BAJO PESO",IF(F4&lt;25,"peso normal",IF(F4&lt;27,"SOBREPESO",IF(F4&gt;27,"SOBREPESO CRONICO"))))</f>
        <v>peso normal</v>
      </c>
      <c r="H4" s="51">
        <v>60</v>
      </c>
      <c r="I4" s="45">
        <f>H4/D4^2</f>
        <v>23.437499999999996</v>
      </c>
      <c r="J4" s="10" t="str">
        <f>IF(I4&lt;20,"BAJO PESO",IF(I4&lt;25,"peso normal",IF(I4&lt;27,"SOBREPESO",IF(I4&gt;27,"SOBREPESO CRONICO"))))</f>
        <v>peso normal</v>
      </c>
      <c r="K4" s="48">
        <v>60</v>
      </c>
      <c r="L4" s="10">
        <f>K4/D4^2</f>
        <v>23.437499999999996</v>
      </c>
      <c r="M4" s="11" t="str">
        <f>IF(L4&lt;20,"BAJO PESO",IF(L4&lt;25,"peso normal",IF(L4&lt;27,"SOBREPESO",IF(L4&gt;27,"SOBREPESO CRONICO"))))</f>
        <v>peso normal</v>
      </c>
      <c r="N4" s="11" t="str">
        <f>IF(M4="peso normal","NO",IF(M4="SOBREPESO","SI",IF(M4="SOBREPESO CRONICO","SI",IF(M4="BAJO PESO","SI"))))</f>
        <v>NO</v>
      </c>
      <c r="O4" s="39">
        <f>MOD(A4,23)</f>
        <v>18</v>
      </c>
    </row>
    <row r="5" spans="1:15" ht="16.5" thickTop="1" thickBot="1" x14ac:dyDescent="0.3">
      <c r="A5" s="49">
        <v>22222222</v>
      </c>
      <c r="B5" s="12" t="str">
        <f>VLOOKUP(O5,'Letra NIF'!$A$1:$B$23,2,0)</f>
        <v>J</v>
      </c>
      <c r="C5" s="52" t="s">
        <v>19</v>
      </c>
      <c r="D5" s="49">
        <v>1.75</v>
      </c>
      <c r="E5" s="12">
        <v>80</v>
      </c>
      <c r="F5" s="12">
        <f t="shared" ref="F5:F12" si="0">E5/D5^2</f>
        <v>26.122448979591837</v>
      </c>
      <c r="G5" s="13" t="str">
        <f t="shared" ref="G5:G12" si="1">IF(F5&lt;20,"BAJO PESO",IF(F5&lt;25,"peso normal",IF(F5&lt;27,"SOBREPESO",IF(F5&gt;27,"SOBREPESO CRONICO"))))</f>
        <v>SOBREPESO</v>
      </c>
      <c r="H5" s="52">
        <v>78</v>
      </c>
      <c r="I5" s="46">
        <f t="shared" ref="I5:I12" si="2">H5/D5^2</f>
        <v>25.469387755102041</v>
      </c>
      <c r="J5" s="13" t="str">
        <f t="shared" ref="J5:J12" si="3">IF(I5&lt;20,"BAJO PESO",IF(I5&lt;25,"peso normal",IF(I5&lt;27,"SOBREPESO",IF(I5&gt;27,"SOBREPESO CRONICO"))))</f>
        <v>SOBREPESO</v>
      </c>
      <c r="K5" s="49">
        <v>77</v>
      </c>
      <c r="L5" s="12">
        <f t="shared" ref="L5:L12" si="4">K5/D5^2</f>
        <v>25.142857142857142</v>
      </c>
      <c r="M5" s="13" t="str">
        <f t="shared" ref="M5:M12" si="5">IF(L5&lt;20,"BAJO PESO",IF(L5&lt;25,"peso normal",IF(L5&lt;27,"SOBREPESO",IF(L5&gt;27,"SOBREPESO CRONICO"))))</f>
        <v>SOBREPESO</v>
      </c>
      <c r="N5" s="11" t="str">
        <f t="shared" ref="N5:N13" si="6">IF(M5="peso normal","NO",IF(M5="SOBREPESO","SI",IF(M5="SOBREPESO CRONICO","SI",IF(M5="BAJO PESO","SI"))))</f>
        <v>SI</v>
      </c>
      <c r="O5" s="39">
        <f t="shared" ref="O5:O12" si="7">MOD(A5,23)</f>
        <v>13</v>
      </c>
    </row>
    <row r="6" spans="1:15" ht="16.5" thickTop="1" thickBot="1" x14ac:dyDescent="0.3">
      <c r="A6" s="49">
        <v>33333333</v>
      </c>
      <c r="B6" s="12" t="str">
        <f>VLOOKUP(O6,'Letra NIF'!$A$1:$B$23,2,0)</f>
        <v>P</v>
      </c>
      <c r="C6" s="52" t="s">
        <v>6</v>
      </c>
      <c r="D6" s="49">
        <v>1.55</v>
      </c>
      <c r="E6" s="12">
        <v>65</v>
      </c>
      <c r="F6" s="12">
        <f t="shared" si="0"/>
        <v>27.055150884495315</v>
      </c>
      <c r="G6" s="13" t="str">
        <f t="shared" si="1"/>
        <v>SOBREPESO CRONICO</v>
      </c>
      <c r="H6" s="52">
        <v>63</v>
      </c>
      <c r="I6" s="46">
        <f t="shared" si="2"/>
        <v>26.22268470343392</v>
      </c>
      <c r="J6" s="13" t="str">
        <f t="shared" si="3"/>
        <v>SOBREPESO</v>
      </c>
      <c r="K6" s="49">
        <v>59</v>
      </c>
      <c r="L6" s="12">
        <f t="shared" si="4"/>
        <v>24.557752341311129</v>
      </c>
      <c r="M6" s="13" t="str">
        <f t="shared" si="5"/>
        <v>peso normal</v>
      </c>
      <c r="N6" s="11" t="str">
        <f t="shared" si="6"/>
        <v>NO</v>
      </c>
      <c r="O6" s="39">
        <f t="shared" si="7"/>
        <v>8</v>
      </c>
    </row>
    <row r="7" spans="1:15" ht="16.5" thickTop="1" thickBot="1" x14ac:dyDescent="0.3">
      <c r="A7" s="49">
        <v>44444444</v>
      </c>
      <c r="B7" s="12" t="str">
        <f>VLOOKUP(O7,'Letra NIF'!$A$1:$B$23,2,0)</f>
        <v>A</v>
      </c>
      <c r="C7" s="52" t="s">
        <v>6</v>
      </c>
      <c r="D7" s="49">
        <v>1.73</v>
      </c>
      <c r="E7" s="12">
        <v>68</v>
      </c>
      <c r="F7" s="12">
        <f t="shared" si="0"/>
        <v>22.720438370810918</v>
      </c>
      <c r="G7" s="13" t="str">
        <f t="shared" si="1"/>
        <v>peso normal</v>
      </c>
      <c r="H7" s="52">
        <v>65</v>
      </c>
      <c r="I7" s="46">
        <f t="shared" si="2"/>
        <v>21.718066089745729</v>
      </c>
      <c r="J7" s="13" t="str">
        <f t="shared" si="3"/>
        <v>peso normal</v>
      </c>
      <c r="K7" s="49">
        <v>65</v>
      </c>
      <c r="L7" s="12">
        <f t="shared" si="4"/>
        <v>21.718066089745729</v>
      </c>
      <c r="M7" s="13" t="str">
        <f t="shared" si="5"/>
        <v>peso normal</v>
      </c>
      <c r="N7" s="11" t="str">
        <f t="shared" si="6"/>
        <v>NO</v>
      </c>
      <c r="O7" s="39">
        <f t="shared" si="7"/>
        <v>3</v>
      </c>
    </row>
    <row r="8" spans="1:15" ht="16.5" thickTop="1" thickBot="1" x14ac:dyDescent="0.3">
      <c r="A8" s="49">
        <v>55555555</v>
      </c>
      <c r="B8" s="12" t="str">
        <f>VLOOKUP(O8,'Letra NIF'!$A$1:$B$23,2,0)</f>
        <v>K</v>
      </c>
      <c r="C8" s="52" t="s">
        <v>19</v>
      </c>
      <c r="D8" s="49">
        <v>1.9</v>
      </c>
      <c r="E8" s="12">
        <v>89</v>
      </c>
      <c r="F8" s="12">
        <f t="shared" si="0"/>
        <v>24.653739612188367</v>
      </c>
      <c r="G8" s="13" t="str">
        <f t="shared" si="1"/>
        <v>peso normal</v>
      </c>
      <c r="H8" s="52">
        <v>90</v>
      </c>
      <c r="I8" s="46">
        <f t="shared" si="2"/>
        <v>24.930747922437675</v>
      </c>
      <c r="J8" s="13" t="str">
        <f t="shared" si="3"/>
        <v>peso normal</v>
      </c>
      <c r="K8" s="49">
        <v>90</v>
      </c>
      <c r="L8" s="12">
        <f t="shared" si="4"/>
        <v>24.930747922437675</v>
      </c>
      <c r="M8" s="13" t="str">
        <f t="shared" si="5"/>
        <v>peso normal</v>
      </c>
      <c r="N8" s="11" t="str">
        <f t="shared" si="6"/>
        <v>NO</v>
      </c>
      <c r="O8" s="39">
        <f t="shared" si="7"/>
        <v>21</v>
      </c>
    </row>
    <row r="9" spans="1:15" ht="16.5" thickTop="1" thickBot="1" x14ac:dyDescent="0.3">
      <c r="A9" s="49">
        <v>66666666</v>
      </c>
      <c r="B9" s="12" t="str">
        <f>VLOOKUP(O9,'Letra NIF'!$A$1:$B$23,2,0)</f>
        <v>Q</v>
      </c>
      <c r="C9" s="52" t="s">
        <v>19</v>
      </c>
      <c r="D9" s="49">
        <v>2.0499999999999998</v>
      </c>
      <c r="E9" s="12">
        <v>79</v>
      </c>
      <c r="F9" s="12">
        <f t="shared" si="0"/>
        <v>18.798334324806664</v>
      </c>
      <c r="G9" s="13" t="str">
        <f t="shared" si="1"/>
        <v>BAJO PESO</v>
      </c>
      <c r="H9" s="52">
        <v>85</v>
      </c>
      <c r="I9" s="46">
        <f t="shared" si="2"/>
        <v>20.226055919095778</v>
      </c>
      <c r="J9" s="13" t="str">
        <f t="shared" si="3"/>
        <v>peso normal</v>
      </c>
      <c r="K9" s="49">
        <v>87</v>
      </c>
      <c r="L9" s="12">
        <f t="shared" si="4"/>
        <v>20.70196311719215</v>
      </c>
      <c r="M9" s="13" t="str">
        <f t="shared" si="5"/>
        <v>peso normal</v>
      </c>
      <c r="N9" s="11" t="str">
        <f t="shared" si="6"/>
        <v>NO</v>
      </c>
      <c r="O9" s="39">
        <f t="shared" si="7"/>
        <v>16</v>
      </c>
    </row>
    <row r="10" spans="1:15" ht="16.5" thickTop="1" thickBot="1" x14ac:dyDescent="0.3">
      <c r="A10" s="49">
        <v>77777777</v>
      </c>
      <c r="B10" s="12" t="str">
        <f>VLOOKUP(O10,'Letra NIF'!$A$1:$B$23,2,0)</f>
        <v>B</v>
      </c>
      <c r="C10" s="52" t="s">
        <v>6</v>
      </c>
      <c r="D10" s="49">
        <v>1.63</v>
      </c>
      <c r="E10" s="12">
        <v>57</v>
      </c>
      <c r="F10" s="12">
        <f t="shared" si="0"/>
        <v>21.453573713726524</v>
      </c>
      <c r="G10" s="13" t="str">
        <f t="shared" si="1"/>
        <v>peso normal</v>
      </c>
      <c r="H10" s="52">
        <v>58</v>
      </c>
      <c r="I10" s="46">
        <f t="shared" si="2"/>
        <v>21.829952199932254</v>
      </c>
      <c r="J10" s="13" t="str">
        <f t="shared" si="3"/>
        <v>peso normal</v>
      </c>
      <c r="K10" s="49">
        <v>58</v>
      </c>
      <c r="L10" s="12">
        <f t="shared" si="4"/>
        <v>21.829952199932254</v>
      </c>
      <c r="M10" s="13" t="str">
        <f t="shared" si="5"/>
        <v>peso normal</v>
      </c>
      <c r="N10" s="11" t="str">
        <f t="shared" si="6"/>
        <v>NO</v>
      </c>
      <c r="O10" s="39">
        <f t="shared" si="7"/>
        <v>11</v>
      </c>
    </row>
    <row r="11" spans="1:15" ht="16.5" thickTop="1" thickBot="1" x14ac:dyDescent="0.3">
      <c r="A11" s="49">
        <v>88888888</v>
      </c>
      <c r="B11" s="12" t="str">
        <f>VLOOKUP(O11,'Letra NIF'!$A$1:$B$23,2,0)</f>
        <v>Y</v>
      </c>
      <c r="C11" s="52" t="s">
        <v>19</v>
      </c>
      <c r="D11" s="49">
        <v>1.55</v>
      </c>
      <c r="E11" s="12">
        <v>46</v>
      </c>
      <c r="F11" s="12">
        <f t="shared" si="0"/>
        <v>19.146722164412068</v>
      </c>
      <c r="G11" s="13" t="str">
        <f t="shared" si="1"/>
        <v>BAJO PESO</v>
      </c>
      <c r="H11" s="52">
        <v>49</v>
      </c>
      <c r="I11" s="46">
        <f t="shared" si="2"/>
        <v>20.39542143600416</v>
      </c>
      <c r="J11" s="13" t="str">
        <f t="shared" si="3"/>
        <v>peso normal</v>
      </c>
      <c r="K11" s="49">
        <v>50</v>
      </c>
      <c r="L11" s="12">
        <f t="shared" si="4"/>
        <v>20.811654526534856</v>
      </c>
      <c r="M11" s="13" t="str">
        <f t="shared" si="5"/>
        <v>peso normal</v>
      </c>
      <c r="N11" s="11" t="str">
        <f t="shared" si="6"/>
        <v>NO</v>
      </c>
      <c r="O11" s="39">
        <f t="shared" si="7"/>
        <v>6</v>
      </c>
    </row>
    <row r="12" spans="1:15" ht="16.5" thickTop="1" thickBot="1" x14ac:dyDescent="0.3">
      <c r="A12" s="50">
        <v>99999999</v>
      </c>
      <c r="B12" s="14" t="str">
        <f>VLOOKUP(O12,'Letra NIF'!$A$1:$B$23,2,0)</f>
        <v>R</v>
      </c>
      <c r="C12" s="53" t="s">
        <v>19</v>
      </c>
      <c r="D12" s="50">
        <v>1.75</v>
      </c>
      <c r="E12" s="14">
        <v>80</v>
      </c>
      <c r="F12" s="14">
        <f t="shared" si="0"/>
        <v>26.122448979591837</v>
      </c>
      <c r="G12" s="15" t="str">
        <f t="shared" si="1"/>
        <v>SOBREPESO</v>
      </c>
      <c r="H12" s="53">
        <v>79</v>
      </c>
      <c r="I12" s="47">
        <f t="shared" si="2"/>
        <v>25.795918367346939</v>
      </c>
      <c r="J12" s="14" t="str">
        <f t="shared" si="3"/>
        <v>SOBREPESO</v>
      </c>
      <c r="K12" s="50">
        <v>77</v>
      </c>
      <c r="L12" s="14">
        <f t="shared" si="4"/>
        <v>25.142857142857142</v>
      </c>
      <c r="M12" s="15" t="str">
        <f t="shared" si="5"/>
        <v>SOBREPESO</v>
      </c>
      <c r="N12" s="11" t="str">
        <f t="shared" si="6"/>
        <v>SI</v>
      </c>
      <c r="O12" s="39">
        <f t="shared" si="7"/>
        <v>1</v>
      </c>
    </row>
    <row r="13" spans="1:15" ht="15.75" thickTop="1" x14ac:dyDescent="0.25">
      <c r="N13" s="10"/>
    </row>
  </sheetData>
  <sheetProtection sheet="1" objects="1" scenarios="1"/>
  <mergeCells count="4">
    <mergeCell ref="A2:C2"/>
    <mergeCell ref="D2:G2"/>
    <mergeCell ref="H2:J2"/>
    <mergeCell ref="K2:M2"/>
  </mergeCells>
  <conditionalFormatting sqref="G4:G12">
    <cfRule type="cellIs" dxfId="5" priority="6" operator="equal">
      <formula>"SOBREPESO"</formula>
    </cfRule>
    <cfRule type="cellIs" dxfId="4" priority="5" operator="equal">
      <formula>"SOBREPESO CRONICO"</formula>
    </cfRule>
    <cfRule type="cellIs" dxfId="3" priority="4" operator="equal">
      <formula>"BAJO PESO"</formula>
    </cfRule>
  </conditionalFormatting>
  <conditionalFormatting sqref="J4:J12">
    <cfRule type="cellIs" dxfId="2" priority="3" operator="equal">
      <formula>"SOBREPESO"</formula>
    </cfRule>
  </conditionalFormatting>
  <conditionalFormatting sqref="M4:M12">
    <cfRule type="cellIs" dxfId="1" priority="2" operator="equal">
      <formula>"SOBREPESO"</formula>
    </cfRule>
  </conditionalFormatting>
  <conditionalFormatting sqref="N4:N12">
    <cfRule type="cellIs" dxfId="0" priority="1" operator="equal">
      <formula>"SI"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Presentación</vt:lpstr>
      <vt:lpstr>Letra NIF</vt:lpstr>
      <vt:lpstr>Valores índ. masa corporal</vt:lpstr>
      <vt:lpstr>Estudio nutricional</vt:lpstr>
      <vt:lpstr>Evolución de los pacientes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smr1</cp:lastModifiedBy>
  <dcterms:created xsi:type="dcterms:W3CDTF">2012-01-14T03:31:07Z</dcterms:created>
  <dcterms:modified xsi:type="dcterms:W3CDTF">2022-02-23T09:47:05Z</dcterms:modified>
</cp:coreProperties>
</file>