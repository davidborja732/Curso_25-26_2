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defaultThemeVersion="164011"/>
  <bookViews>
    <workbookView xWindow="0" yWindow="0" windowWidth="20490" windowHeight="7650" activeTab="2"/>
  </bookViews>
  <sheets>
    <sheet name="Ejercicio 1" sheetId="1" r:id="rId1"/>
    <sheet name="Ejercicio 2" sheetId="2" r:id="rId2"/>
    <sheet name="Ejercicio 3" sheetId="3" r:id="rId3"/>
    <sheet name="Ejercicio 4" sheetId="4" r:id="rId4"/>
  </sheets>
  <calcPr calcId="162913"/>
  <pivotCaches>
    <pivotCache cacheId="1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3" l="1"/>
  <c r="F14" i="3"/>
  <c r="G4" i="3"/>
  <c r="G5" i="3"/>
  <c r="G6" i="3"/>
  <c r="G7" i="3"/>
  <c r="G8" i="3"/>
  <c r="G9" i="3"/>
  <c r="G10" i="3"/>
  <c r="G11" i="3"/>
  <c r="G12" i="3"/>
  <c r="G3" i="3"/>
  <c r="E4" i="3"/>
  <c r="F4" i="3" s="1"/>
  <c r="E5" i="3"/>
  <c r="F5" i="3" s="1"/>
  <c r="E6" i="3"/>
  <c r="E7" i="3"/>
  <c r="F7" i="3" s="1"/>
  <c r="E8" i="3"/>
  <c r="F8" i="3" s="1"/>
  <c r="E9" i="3"/>
  <c r="F9" i="3" s="1"/>
  <c r="E10" i="3"/>
  <c r="E11" i="3"/>
  <c r="E12" i="3"/>
  <c r="F12" i="3" s="1"/>
  <c r="E3" i="3"/>
  <c r="F11" i="3"/>
  <c r="F3" i="3"/>
  <c r="F6" i="3"/>
  <c r="F10" i="3"/>
  <c r="B2" i="2"/>
  <c r="D4" i="3"/>
  <c r="D5" i="3"/>
  <c r="D6" i="3"/>
  <c r="D7" i="3"/>
  <c r="D8" i="3"/>
  <c r="D9" i="3"/>
  <c r="D10" i="3"/>
  <c r="D11" i="3"/>
  <c r="D12" i="3"/>
  <c r="D3" i="3"/>
  <c r="D5" i="2"/>
  <c r="C5" i="2"/>
  <c r="B5" i="2"/>
  <c r="A5" i="2"/>
  <c r="D13" i="1"/>
  <c r="D12" i="1"/>
  <c r="D11" i="1"/>
  <c r="C12" i="1"/>
  <c r="C13" i="1"/>
  <c r="C11" i="1"/>
  <c r="E6" i="1"/>
  <c r="E7" i="1"/>
  <c r="E8" i="1"/>
  <c r="E9" i="1"/>
  <c r="E5" i="1"/>
  <c r="E13" i="1" l="1"/>
  <c r="E11" i="1"/>
  <c r="B12" i="1"/>
  <c r="B13" i="1"/>
  <c r="E12" i="1"/>
  <c r="B11" i="1"/>
</calcChain>
</file>

<file path=xl/sharedStrings.xml><?xml version="1.0" encoding="utf-8"?>
<sst xmlns="http://schemas.openxmlformats.org/spreadsheetml/2006/main" count="60" uniqueCount="46">
  <si>
    <t>NOTAS DE 2º SMR</t>
  </si>
  <si>
    <t>ALUMNO</t>
  </si>
  <si>
    <t>Examen teórico</t>
  </si>
  <si>
    <t>Examen práctico</t>
  </si>
  <si>
    <t>Trabajos</t>
  </si>
  <si>
    <t>Luis Antón Pereira</t>
  </si>
  <si>
    <t>Alonso González Martín</t>
  </si>
  <si>
    <t>Cristina Andrés Jiménez</t>
  </si>
  <si>
    <t>Pedro Lucía Martín</t>
  </si>
  <si>
    <t>Ana María Rueda Pérez</t>
  </si>
  <si>
    <t>NOTA MEDIA DE LA CLASE</t>
  </si>
  <si>
    <t>NOTA MÁXIMA DE LA CLASE</t>
  </si>
  <si>
    <t>NOTA MÍNIMA DE LA CLASE</t>
  </si>
  <si>
    <t>Nota Final</t>
  </si>
  <si>
    <t>NOMBRE DEL ALUMNO/A</t>
  </si>
  <si>
    <t>CALIFICACIÓN FINAL:</t>
  </si>
  <si>
    <t>BIBLIOTECA DEL LIBRO</t>
  </si>
  <si>
    <t>ALUMNOS</t>
  </si>
  <si>
    <t>FECHA DE ENTRADA</t>
  </si>
  <si>
    <t>FECHA DE SALIDA</t>
  </si>
  <si>
    <t>DIAS DEPOSITO</t>
  </si>
  <si>
    <t xml:space="preserve">DEMORA </t>
  </si>
  <si>
    <t>IMPORTE</t>
  </si>
  <si>
    <t>OBSERVACIONES</t>
  </si>
  <si>
    <t>Cesar</t>
  </si>
  <si>
    <t>Paco</t>
  </si>
  <si>
    <t>Juan</t>
  </si>
  <si>
    <t>Carlos</t>
  </si>
  <si>
    <t>Alberto</t>
  </si>
  <si>
    <t>Esther</t>
  </si>
  <si>
    <t>Ana</t>
  </si>
  <si>
    <t>Mila</t>
  </si>
  <si>
    <t>Miguel</t>
  </si>
  <si>
    <t>Marta</t>
  </si>
  <si>
    <t>MAX DIA</t>
  </si>
  <si>
    <t>TOTAL</t>
  </si>
  <si>
    <t>MULTA</t>
  </si>
  <si>
    <t>NÚMERO DE SANCIONADOS</t>
  </si>
  <si>
    <t xml:space="preserve">EXAMEN TEORICO </t>
  </si>
  <si>
    <t>EXAMEN PRACTICO</t>
  </si>
  <si>
    <t>TRABAJOS</t>
  </si>
  <si>
    <t xml:space="preserve">NOTA FINAL </t>
  </si>
  <si>
    <t>Etiquetas de fila</t>
  </si>
  <si>
    <t>Total general</t>
  </si>
  <si>
    <t xml:space="preserve">Promedio de DEMORA </t>
  </si>
  <si>
    <t>Suma de 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</si>
</sst>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#,##0.00\ &quot;€&quot;;[Red]\-#,##0.00\ &quot;€&quot;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/>
        <bgColor indexed="64"/>
      </patternFill>
    </fill>
  </fills>
  <borders count="23">
    <border>
      <left/>
      <right/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dashDotDot">
        <color indexed="64"/>
      </bottom>
      <diagonal/>
    </border>
    <border>
      <left style="mediumDashed">
        <color indexed="64"/>
      </left>
      <right style="mediumDashed">
        <color indexed="64"/>
      </right>
      <top style="dashDotDot">
        <color indexed="64"/>
      </top>
      <bottom style="dashDotDot">
        <color indexed="64"/>
      </bottom>
      <diagonal/>
    </border>
    <border>
      <left style="mediumDashed">
        <color indexed="64"/>
      </left>
      <right style="mediumDashed">
        <color indexed="64"/>
      </right>
      <top style="dashDotDot">
        <color indexed="64"/>
      </top>
      <bottom style="mediumDashed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/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double">
        <color auto="1"/>
      </left>
      <right style="dotted">
        <color auto="1"/>
      </right>
      <top style="double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double">
        <color auto="1"/>
      </bottom>
      <diagonal/>
    </border>
    <border>
      <left style="dotted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Border="1"/>
    <xf numFmtId="0" fontId="1" fillId="0" borderId="0" xfId="0" applyFont="1" applyBorder="1"/>
    <xf numFmtId="0" fontId="0" fillId="0" borderId="0" xfId="0" applyFont="1" applyBorder="1"/>
    <xf numFmtId="0" fontId="0" fillId="0" borderId="0" xfId="0" applyFont="1"/>
    <xf numFmtId="0" fontId="2" fillId="0" borderId="1" xfId="0" applyFont="1" applyBorder="1"/>
    <xf numFmtId="9" fontId="2" fillId="0" borderId="1" xfId="0" applyNumberFormat="1" applyFont="1" applyBorder="1"/>
    <xf numFmtId="0" fontId="2" fillId="0" borderId="2" xfId="0" applyFont="1" applyBorder="1"/>
    <xf numFmtId="9" fontId="2" fillId="0" borderId="2" xfId="0" applyNumberFormat="1" applyFont="1" applyBorder="1"/>
    <xf numFmtId="0" fontId="2" fillId="0" borderId="3" xfId="0" applyFont="1" applyBorder="1"/>
    <xf numFmtId="9" fontId="2" fillId="0" borderId="3" xfId="0" applyNumberFormat="1" applyFont="1" applyBorder="1"/>
    <xf numFmtId="0" fontId="3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5" fillId="0" borderId="0" xfId="0" applyFont="1" applyBorder="1"/>
    <xf numFmtId="2" fontId="6" fillId="0" borderId="5" xfId="0" applyNumberFormat="1" applyFont="1" applyBorder="1"/>
    <xf numFmtId="2" fontId="1" fillId="0" borderId="6" xfId="0" applyNumberFormat="1" applyFont="1" applyBorder="1"/>
    <xf numFmtId="0" fontId="1" fillId="0" borderId="6" xfId="0" applyFont="1" applyBorder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1" fillId="0" borderId="4" xfId="0" applyFont="1" applyBorder="1"/>
    <xf numFmtId="0" fontId="5" fillId="0" borderId="11" xfId="0" applyFont="1" applyBorder="1"/>
    <xf numFmtId="0" fontId="5" fillId="0" borderId="13" xfId="0" applyFont="1" applyBorder="1"/>
    <xf numFmtId="0" fontId="1" fillId="0" borderId="13" xfId="0" applyFont="1" applyBorder="1"/>
    <xf numFmtId="0" fontId="1" fillId="0" borderId="12" xfId="0" applyFont="1" applyBorder="1"/>
    <xf numFmtId="0" fontId="1" fillId="3" borderId="4" xfId="0" applyFont="1" applyFill="1" applyBorder="1"/>
    <xf numFmtId="2" fontId="0" fillId="0" borderId="5" xfId="0" applyNumberFormat="1" applyBorder="1"/>
    <xf numFmtId="2" fontId="0" fillId="0" borderId="7" xfId="0" applyNumberFormat="1" applyBorder="1"/>
    <xf numFmtId="0" fontId="5" fillId="0" borderId="14" xfId="0" applyFont="1" applyBorder="1"/>
    <xf numFmtId="0" fontId="5" fillId="0" borderId="15" xfId="0" applyFont="1" applyBorder="1"/>
    <xf numFmtId="2" fontId="6" fillId="0" borderId="16" xfId="0" applyNumberFormat="1" applyFont="1" applyBorder="1"/>
    <xf numFmtId="2" fontId="1" fillId="0" borderId="14" xfId="0" applyNumberFormat="1" applyFont="1" applyBorder="1"/>
    <xf numFmtId="0" fontId="1" fillId="0" borderId="15" xfId="0" applyFont="1" applyBorder="1"/>
    <xf numFmtId="2" fontId="0" fillId="0" borderId="16" xfId="0" applyNumberFormat="1" applyBorder="1"/>
    <xf numFmtId="0" fontId="1" fillId="3" borderId="17" xfId="0" applyFont="1" applyFill="1" applyBorder="1"/>
    <xf numFmtId="0" fontId="1" fillId="3" borderId="18" xfId="0" applyFont="1" applyFill="1" applyBorder="1"/>
    <xf numFmtId="0" fontId="7" fillId="3" borderId="19" xfId="0" applyFont="1" applyFill="1" applyBorder="1"/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2" fillId="0" borderId="4" xfId="0" applyFont="1" applyBorder="1"/>
    <xf numFmtId="14" fontId="1" fillId="0" borderId="4" xfId="0" applyNumberFormat="1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8" fontId="1" fillId="0" borderId="4" xfId="0" applyNumberFormat="1" applyFont="1" applyBorder="1" applyAlignment="1">
      <alignment horizontal="right"/>
    </xf>
    <xf numFmtId="0" fontId="1" fillId="0" borderId="4" xfId="0" applyFont="1" applyBorder="1" applyAlignment="1">
      <alignment horizontal="center"/>
    </xf>
    <xf numFmtId="0" fontId="1" fillId="0" borderId="4" xfId="0" applyFont="1" applyFill="1" applyBorder="1"/>
    <xf numFmtId="8" fontId="2" fillId="0" borderId="4" xfId="0" applyNumberFormat="1" applyFont="1" applyFill="1" applyBorder="1" applyAlignment="1">
      <alignment horizontal="right"/>
    </xf>
    <xf numFmtId="0" fontId="2" fillId="4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2" borderId="4" xfId="0" applyFont="1" applyFill="1" applyBorder="1"/>
    <xf numFmtId="0" fontId="1" fillId="2" borderId="4" xfId="0" applyFont="1" applyFill="1" applyBorder="1" applyAlignment="1">
      <alignment horizontal="right"/>
    </xf>
    <xf numFmtId="8" fontId="1" fillId="2" borderId="4" xfId="0" applyNumberFormat="1" applyFont="1" applyFill="1" applyBorder="1" applyAlignment="1">
      <alignment horizontal="right"/>
    </xf>
    <xf numFmtId="0" fontId="2" fillId="5" borderId="4" xfId="0" applyFont="1" applyFill="1" applyBorder="1"/>
    <xf numFmtId="0" fontId="2" fillId="6" borderId="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3">
    <dxf>
      <font>
        <u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NOTAS DE 2º SMR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'Ejercicio 1'!$B$4</c:f>
              <c:strCache>
                <c:ptCount val="1"/>
                <c:pt idx="0">
                  <c:v>Examen teórico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'Ejercicio 1'!$A$5:$A$9</c:f>
              <c:strCache>
                <c:ptCount val="5"/>
                <c:pt idx="0">
                  <c:v>Luis Antón Pereira</c:v>
                </c:pt>
                <c:pt idx="1">
                  <c:v>Alonso González Martín</c:v>
                </c:pt>
                <c:pt idx="2">
                  <c:v>Cristina Andrés Jiménez</c:v>
                </c:pt>
                <c:pt idx="3">
                  <c:v>Pedro Lucía Martín</c:v>
                </c:pt>
                <c:pt idx="4">
                  <c:v>Ana María Rueda Pérez</c:v>
                </c:pt>
              </c:strCache>
            </c:strRef>
          </c:cat>
          <c:val>
            <c:numRef>
              <c:f>'Ejercicio 1'!$B$5:$B$9</c:f>
              <c:numCache>
                <c:formatCode>General</c:formatCode>
                <c:ptCount val="5"/>
                <c:pt idx="0">
                  <c:v>4</c:v>
                </c:pt>
                <c:pt idx="1">
                  <c:v>6.5</c:v>
                </c:pt>
                <c:pt idx="2">
                  <c:v>8</c:v>
                </c:pt>
                <c:pt idx="3">
                  <c:v>6.75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A-4568-B8BA-97C7873B9B14}"/>
            </c:ext>
          </c:extLst>
        </c:ser>
        <c:ser>
          <c:idx val="1"/>
          <c:order val="1"/>
          <c:tx>
            <c:strRef>
              <c:f>'Ejercicio 1'!$C$4</c:f>
              <c:strCache>
                <c:ptCount val="1"/>
                <c:pt idx="0">
                  <c:v>Examen práctico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'Ejercicio 1'!$A$5:$A$9</c:f>
              <c:strCache>
                <c:ptCount val="5"/>
                <c:pt idx="0">
                  <c:v>Luis Antón Pereira</c:v>
                </c:pt>
                <c:pt idx="1">
                  <c:v>Alonso González Martín</c:v>
                </c:pt>
                <c:pt idx="2">
                  <c:v>Cristina Andrés Jiménez</c:v>
                </c:pt>
                <c:pt idx="3">
                  <c:v>Pedro Lucía Martín</c:v>
                </c:pt>
                <c:pt idx="4">
                  <c:v>Ana María Rueda Pérez</c:v>
                </c:pt>
              </c:strCache>
            </c:strRef>
          </c:cat>
          <c:val>
            <c:numRef>
              <c:f>'Ejercicio 1'!$C$5:$C$9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A-4568-B8BA-97C7873B9B14}"/>
            </c:ext>
          </c:extLst>
        </c:ser>
        <c:ser>
          <c:idx val="2"/>
          <c:order val="2"/>
          <c:tx>
            <c:strRef>
              <c:f>'Ejercicio 1'!$D$4</c:f>
              <c:strCache>
                <c:ptCount val="1"/>
                <c:pt idx="0">
                  <c:v>Trabajos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'Ejercicio 1'!$A$5:$A$9</c:f>
              <c:strCache>
                <c:ptCount val="5"/>
                <c:pt idx="0">
                  <c:v>Luis Antón Pereira</c:v>
                </c:pt>
                <c:pt idx="1">
                  <c:v>Alonso González Martín</c:v>
                </c:pt>
                <c:pt idx="2">
                  <c:v>Cristina Andrés Jiménez</c:v>
                </c:pt>
                <c:pt idx="3">
                  <c:v>Pedro Lucía Martín</c:v>
                </c:pt>
                <c:pt idx="4">
                  <c:v>Ana María Rueda Pérez</c:v>
                </c:pt>
              </c:strCache>
            </c:strRef>
          </c:cat>
          <c:val>
            <c:numRef>
              <c:f>'Ejercicio 1'!$D$5:$D$9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5.5</c:v>
                </c:pt>
                <c:pt idx="3">
                  <c:v>7</c:v>
                </c:pt>
                <c:pt idx="4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A-4568-B8BA-97C7873B9B14}"/>
            </c:ext>
          </c:extLst>
        </c:ser>
        <c:ser>
          <c:idx val="3"/>
          <c:order val="3"/>
          <c:tx>
            <c:strRef>
              <c:f>'Ejercicio 1'!$E$3</c:f>
              <c:strCache>
                <c:ptCount val="1"/>
                <c:pt idx="0">
                  <c:v>Nota Final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'Ejercicio 1'!$A$5:$A$9</c:f>
              <c:strCache>
                <c:ptCount val="5"/>
                <c:pt idx="0">
                  <c:v>Luis Antón Pereira</c:v>
                </c:pt>
                <c:pt idx="1">
                  <c:v>Alonso González Martín</c:v>
                </c:pt>
                <c:pt idx="2">
                  <c:v>Cristina Andrés Jiménez</c:v>
                </c:pt>
                <c:pt idx="3">
                  <c:v>Pedro Lucía Martín</c:v>
                </c:pt>
                <c:pt idx="4">
                  <c:v>Ana María Rueda Pérez</c:v>
                </c:pt>
              </c:strCache>
            </c:strRef>
          </c:cat>
          <c:val>
            <c:numRef>
              <c:f>'Ejercicio 1'!$E$5:$E$9</c:f>
              <c:numCache>
                <c:formatCode>0.00</c:formatCode>
                <c:ptCount val="5"/>
                <c:pt idx="0">
                  <c:v>4.5</c:v>
                </c:pt>
                <c:pt idx="1">
                  <c:v>5.75</c:v>
                </c:pt>
                <c:pt idx="2">
                  <c:v>7.2749999999999995</c:v>
                </c:pt>
                <c:pt idx="3">
                  <c:v>6.8749999999999991</c:v>
                </c:pt>
                <c:pt idx="4">
                  <c:v>7.7749999999999995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A-4568-B8BA-97C7873B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7216927"/>
        <c:axId val="547223999"/>
      </c:barChart>
      <c:catAx>
        <c:axId val="54721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23999"/>
        <c:crosses val="autoZero"/>
        <c:auto val="1"/>
        <c:lblAlgn val="ctr"/>
        <c:lblOffset val="100"/>
        <c:noMultiLvlLbl val="0"/>
      </c:catAx>
      <c:valAx>
        <c:axId val="54722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1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'Ejercicio 3'!$E$2</c:f>
              <c:strCache>
                <c:ptCount val="1"/>
                <c:pt idx="0">
                  <c:v>DEMORA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explosion val="2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3A62-4675-810C-28AB77D084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'Ejercicio 3'!$A$3:$A$12</c:f>
              <c:strCache>
                <c:ptCount val="10"/>
                <c:pt idx="0">
                  <c:v>Cesar</c:v>
                </c:pt>
                <c:pt idx="1">
                  <c:v>Paco</c:v>
                </c:pt>
                <c:pt idx="2">
                  <c:v>Juan</c:v>
                </c:pt>
                <c:pt idx="3">
                  <c:v>Carlos</c:v>
                </c:pt>
                <c:pt idx="4">
                  <c:v>Alberto</c:v>
                </c:pt>
                <c:pt idx="5">
                  <c:v>Esther</c:v>
                </c:pt>
                <c:pt idx="6">
                  <c:v>Ana</c:v>
                </c:pt>
                <c:pt idx="7">
                  <c:v>Mila</c:v>
                </c:pt>
                <c:pt idx="8">
                  <c:v>Miguel</c:v>
                </c:pt>
                <c:pt idx="9">
                  <c:v>Marta</c:v>
                </c:pt>
              </c:strCache>
            </c:strRef>
          </c:cat>
          <c:val>
            <c:numRef>
              <c:f>'Ejercicio 3'!$E$3:$E$12</c:f>
              <c:numCache>
                <c:formatCode>General</c:formatCode>
                <c:ptCount val="10"/>
                <c:pt idx="0">
                  <c:v>4</c:v>
                </c:pt>
                <c:pt idx="1">
                  <c:v>0</c:v>
                </c:pt>
                <c:pt idx="2">
                  <c:v>19</c:v>
                </c:pt>
                <c:pt idx="3">
                  <c:v>11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2-4675-810C-28AB77D0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171450</xdr:rowOff>
        </xdr:from>
        <xdr:to>
          <xdr:col>10</xdr:col>
          <xdr:colOff>590550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TAMAÑO LETRA: 10 puntos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5</xdr:row>
          <xdr:rowOff>28575</xdr:rowOff>
        </xdr:from>
        <xdr:to>
          <xdr:col>11</xdr:col>
          <xdr:colOff>9525</xdr:colOff>
          <xdr:row>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TAMAÑO LETRA: 12 puntos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133350</xdr:colOff>
      <xdr:row>7</xdr:row>
      <xdr:rowOff>104775</xdr:rowOff>
    </xdr:from>
    <xdr:to>
      <xdr:col>12</xdr:col>
      <xdr:colOff>438150</xdr:colOff>
      <xdr:row>21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</xdr:row>
      <xdr:rowOff>9525</xdr:rowOff>
    </xdr:from>
    <xdr:to>
      <xdr:col>13</xdr:col>
      <xdr:colOff>161925</xdr:colOff>
      <xdr:row>14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621.359616203707" createdVersion="6" refreshedVersion="6" minRefreshableVersion="3" recordCount="10">
  <cacheSource type="worksheet">
    <worksheetSource ref="A2:F12" sheet="Ejercicio 3"/>
  </cacheSource>
  <cacheFields count="6">
    <cacheField name="ALUMNOS" numFmtId="0">
      <sharedItems count="10">
        <s v="Cesar"/>
        <s v="Paco"/>
        <s v="Juan"/>
        <s v="Carlos"/>
        <s v="Alberto"/>
        <s v="Esther"/>
        <s v="Ana"/>
        <s v="Mila"/>
        <s v="Miguel"/>
        <s v="Marta"/>
      </sharedItems>
    </cacheField>
    <cacheField name="FECHA DE ENTRADA" numFmtId="14">
      <sharedItems containsSemiMixedTypes="0" containsNonDate="0" containsDate="1" containsString="0" minDate="2005-06-25T00:00:00" maxDate="2005-09-22T00:00:00"/>
    </cacheField>
    <cacheField name="FECHA DE SALIDA" numFmtId="14">
      <sharedItems containsSemiMixedTypes="0" containsNonDate="0" containsDate="1" containsString="0" minDate="2005-07-29T00:00:00" maxDate="2005-10-09T00:00:00"/>
    </cacheField>
    <cacheField name="DIAS DEPOSITO" numFmtId="0">
      <sharedItems containsSemiMixedTypes="0" containsString="0" containsNumber="1" containsInteger="1" minValue="4" maxValue="34"/>
    </cacheField>
    <cacheField name="DEMORA " numFmtId="0">
      <sharedItems containsSemiMixedTypes="0" containsString="0" containsNumber="1" containsInteger="1" minValue="0" maxValue="19" count="7">
        <n v="4"/>
        <n v="0"/>
        <n v="19"/>
        <n v="11"/>
        <n v="9"/>
        <n v="2"/>
        <n v="5"/>
      </sharedItems>
    </cacheField>
    <cacheField name="IMPORTE" numFmtId="8">
      <sharedItems containsSemiMixedTypes="0" containsString="0" containsNumber="1" containsInteger="1" minValue="0" maxValue="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d v="2005-09-01T00:00:00"/>
    <d v="2005-09-20T00:00:00"/>
    <n v="19"/>
    <x v="0"/>
    <n v="12"/>
  </r>
  <r>
    <x v="1"/>
    <d v="2005-09-20T00:00:00"/>
    <d v="2005-09-28T00:00:00"/>
    <n v="8"/>
    <x v="1"/>
    <n v="0"/>
  </r>
  <r>
    <x v="2"/>
    <d v="2005-06-25T00:00:00"/>
    <d v="2005-07-29T00:00:00"/>
    <n v="34"/>
    <x v="2"/>
    <n v="57"/>
  </r>
  <r>
    <x v="3"/>
    <d v="2005-09-02T00:00:00"/>
    <d v="2005-09-28T00:00:00"/>
    <n v="26"/>
    <x v="3"/>
    <n v="33"/>
  </r>
  <r>
    <x v="4"/>
    <d v="2005-09-05T00:00:00"/>
    <d v="2005-09-09T00:00:00"/>
    <n v="4"/>
    <x v="1"/>
    <n v="0"/>
  </r>
  <r>
    <x v="5"/>
    <d v="2005-09-10T00:00:00"/>
    <d v="2005-09-22T00:00:00"/>
    <n v="12"/>
    <x v="1"/>
    <n v="0"/>
  </r>
  <r>
    <x v="6"/>
    <d v="2005-09-07T00:00:00"/>
    <d v="2005-10-01T00:00:00"/>
    <n v="24"/>
    <x v="4"/>
    <n v="27"/>
  </r>
  <r>
    <x v="7"/>
    <d v="2005-09-03T00:00:00"/>
    <d v="2005-09-12T00:00:00"/>
    <n v="9"/>
    <x v="1"/>
    <n v="0"/>
  </r>
  <r>
    <x v="8"/>
    <d v="2005-09-21T00:00:00"/>
    <d v="2005-10-08T00:00:00"/>
    <n v="17"/>
    <x v="5"/>
    <n v="6"/>
  </r>
  <r>
    <x v="9"/>
    <d v="2005-09-01T00:00:00"/>
    <d v="2005-09-21T00:00:00"/>
    <n v="20"/>
    <x v="6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7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4" firstHeaderRow="0" firstDataRow="1" firstDataCol="1"/>
  <pivotFields count="6">
    <pivotField axis="axisRow" showAll="0">
      <items count="11">
        <item x="4"/>
        <item x="6"/>
        <item x="3"/>
        <item x="0"/>
        <item x="5"/>
        <item x="2"/>
        <item x="9"/>
        <item x="8"/>
        <item x="7"/>
        <item x="1"/>
        <item t="default"/>
      </items>
    </pivotField>
    <pivotField numFmtId="14" showAll="0"/>
    <pivotField numFmtId="14" showAll="0"/>
    <pivotField showAll="0"/>
    <pivotField dataField="1" showAll="0">
      <items count="8">
        <item x="1"/>
        <item x="5"/>
        <item x="0"/>
        <item x="6"/>
        <item x="4"/>
        <item x="3"/>
        <item x="2"/>
        <item t="default"/>
      </items>
    </pivotField>
    <pivotField dataField="1" numFmtId="8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DEMORA " fld="4" subtotal="average" baseField="0" baseItem="0"/>
    <dataField name="Suma de IMPORT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E20"/>
  <sheetViews>
    <sheetView workbookViewId="0">
      <selection activeCell="M5" sqref="M5"/>
    </sheetView>
  </sheetViews>
  <sheetFormatPr baseColWidth="10" defaultColWidth="9.140625" defaultRowHeight="15" x14ac:dyDescent="0.25"/>
  <cols>
    <col min="1" max="1" width="27.42578125" bestFit="1" customWidth="1"/>
    <col min="2" max="2" width="18.42578125" bestFit="1" customWidth="1"/>
    <col min="3" max="3" width="19.7109375" bestFit="1" customWidth="1"/>
    <col min="4" max="4" width="13.42578125" customWidth="1"/>
    <col min="5" max="5" width="15.28515625" customWidth="1"/>
  </cols>
  <sheetData>
    <row r="2" spans="1:5" ht="15.75" thickBot="1" x14ac:dyDescent="0.3">
      <c r="A2" s="1"/>
      <c r="B2" s="1"/>
      <c r="C2" s="1"/>
      <c r="D2" s="1"/>
      <c r="E2" s="1"/>
    </row>
    <row r="3" spans="1:5" ht="16.5" thickBot="1" x14ac:dyDescent="0.3">
      <c r="A3" s="14"/>
      <c r="B3" s="18" t="s">
        <v>0</v>
      </c>
      <c r="C3" s="19"/>
      <c r="D3" s="20"/>
      <c r="E3" s="24" t="s">
        <v>13</v>
      </c>
    </row>
    <row r="4" spans="1:5" ht="16.5" thickBot="1" x14ac:dyDescent="0.3">
      <c r="A4" s="21" t="s">
        <v>1</v>
      </c>
      <c r="B4" s="22" t="s">
        <v>2</v>
      </c>
      <c r="C4" s="22" t="s">
        <v>3</v>
      </c>
      <c r="D4" s="23" t="s">
        <v>4</v>
      </c>
      <c r="E4" s="25"/>
    </row>
    <row r="5" spans="1:5" ht="15.75" x14ac:dyDescent="0.25">
      <c r="A5" s="27" t="s">
        <v>5</v>
      </c>
      <c r="B5" s="14">
        <v>4</v>
      </c>
      <c r="C5" s="14">
        <v>5</v>
      </c>
      <c r="D5" s="14">
        <v>5</v>
      </c>
      <c r="E5" s="15">
        <f>(B5*$C$18)+(C5*$C$19)+(D5*$C$20)</f>
        <v>4.5</v>
      </c>
    </row>
    <row r="6" spans="1:5" ht="15.75" x14ac:dyDescent="0.25">
      <c r="A6" s="28" t="s">
        <v>6</v>
      </c>
      <c r="B6" s="34">
        <v>6.5</v>
      </c>
      <c r="C6" s="35">
        <v>5</v>
      </c>
      <c r="D6" s="35">
        <v>5</v>
      </c>
      <c r="E6" s="36">
        <f t="shared" ref="E6:E9" si="0">(B6*$C$18)+(C6*$C$19)+(D6*$C$20)</f>
        <v>5.75</v>
      </c>
    </row>
    <row r="7" spans="1:5" ht="15.75" x14ac:dyDescent="0.25">
      <c r="A7" s="28" t="s">
        <v>7</v>
      </c>
      <c r="B7" s="34">
        <v>8</v>
      </c>
      <c r="C7" s="35">
        <v>7</v>
      </c>
      <c r="D7" s="35">
        <v>5.5</v>
      </c>
      <c r="E7" s="36">
        <f t="shared" si="0"/>
        <v>7.2749999999999995</v>
      </c>
    </row>
    <row r="8" spans="1:5" ht="15.75" x14ac:dyDescent="0.25">
      <c r="A8" s="28" t="s">
        <v>8</v>
      </c>
      <c r="B8" s="34">
        <v>6.75</v>
      </c>
      <c r="C8" s="35">
        <v>7</v>
      </c>
      <c r="D8" s="35">
        <v>7</v>
      </c>
      <c r="E8" s="36">
        <f t="shared" si="0"/>
        <v>6.8749999999999991</v>
      </c>
    </row>
    <row r="9" spans="1:5" ht="16.5" thickBot="1" x14ac:dyDescent="0.3">
      <c r="A9" s="28" t="s">
        <v>9</v>
      </c>
      <c r="B9" s="14">
        <v>8</v>
      </c>
      <c r="C9" s="14">
        <v>8</v>
      </c>
      <c r="D9" s="14">
        <v>6.5</v>
      </c>
      <c r="E9" s="15">
        <f t="shared" si="0"/>
        <v>7.7749999999999995</v>
      </c>
    </row>
    <row r="10" spans="1:5" ht="15.75" thickBot="1" x14ac:dyDescent="0.3">
      <c r="A10" s="31"/>
      <c r="B10" s="40"/>
      <c r="C10" s="41"/>
      <c r="D10" s="41"/>
      <c r="E10" s="42"/>
    </row>
    <row r="11" spans="1:5" x14ac:dyDescent="0.25">
      <c r="A11" s="29" t="s">
        <v>10</v>
      </c>
      <c r="B11" s="13">
        <f>AVERAGE(E5:E9)</f>
        <v>6.4349999999999996</v>
      </c>
      <c r="C11" s="13">
        <f>AVERAGE(C5:C9)</f>
        <v>6.4</v>
      </c>
      <c r="D11" s="2">
        <f>AVERAGE(D5:D9)</f>
        <v>5.8</v>
      </c>
      <c r="E11" s="32">
        <f>AVERAGE(E5:E9)</f>
        <v>6.4349999999999996</v>
      </c>
    </row>
    <row r="12" spans="1:5" x14ac:dyDescent="0.25">
      <c r="A12" s="29" t="s">
        <v>11</v>
      </c>
      <c r="B12" s="37">
        <f>MAX(E5:E9)</f>
        <v>7.7749999999999995</v>
      </c>
      <c r="C12" s="38">
        <f>MAX(C5:C9)</f>
        <v>8</v>
      </c>
      <c r="D12" s="38">
        <f>MAX(D5:D9)</f>
        <v>7</v>
      </c>
      <c r="E12" s="39">
        <f>MAX(E5:E9)</f>
        <v>7.7749999999999995</v>
      </c>
    </row>
    <row r="13" spans="1:5" ht="15.75" thickBot="1" x14ac:dyDescent="0.3">
      <c r="A13" s="30" t="s">
        <v>12</v>
      </c>
      <c r="B13" s="16">
        <f>MIN(E5:E9)</f>
        <v>4.5</v>
      </c>
      <c r="C13" s="17">
        <f>MIN(C5:C9)</f>
        <v>5</v>
      </c>
      <c r="D13" s="17">
        <f>MIN(D5:D9)</f>
        <v>5</v>
      </c>
      <c r="E13" s="33">
        <f>MIN(E5:E9)</f>
        <v>4.5</v>
      </c>
    </row>
    <row r="14" spans="1:5" x14ac:dyDescent="0.25">
      <c r="A14" s="3"/>
      <c r="B14" s="1"/>
      <c r="C14" s="1"/>
      <c r="D14" s="1"/>
      <c r="E14" s="1"/>
    </row>
    <row r="15" spans="1:5" x14ac:dyDescent="0.25">
      <c r="A15" s="3"/>
      <c r="B15" s="1"/>
      <c r="C15" s="1"/>
      <c r="D15" s="1"/>
      <c r="E15" s="1"/>
    </row>
    <row r="16" spans="1:5" x14ac:dyDescent="0.25">
      <c r="A16" s="4"/>
    </row>
    <row r="17" spans="1:3" ht="15.75" thickBot="1" x14ac:dyDescent="0.3">
      <c r="A17" s="4"/>
    </row>
    <row r="18" spans="1:3" x14ac:dyDescent="0.25">
      <c r="B18" s="5" t="s">
        <v>2</v>
      </c>
      <c r="C18" s="6">
        <v>0.5</v>
      </c>
    </row>
    <row r="19" spans="1:3" x14ac:dyDescent="0.25">
      <c r="B19" s="7" t="s">
        <v>3</v>
      </c>
      <c r="C19" s="8">
        <v>0.35</v>
      </c>
    </row>
    <row r="20" spans="1:3" ht="15.75" thickBot="1" x14ac:dyDescent="0.3">
      <c r="B20" s="9" t="s">
        <v>4</v>
      </c>
      <c r="C20" s="10">
        <v>0.15</v>
      </c>
    </row>
  </sheetData>
  <mergeCells count="2">
    <mergeCell ref="B3:D3"/>
    <mergeCell ref="E3:E4"/>
  </mergeCells>
  <conditionalFormatting sqref="E5:E9">
    <cfRule type="cellIs" dxfId="2" priority="1" operator="lessThan">
      <formula>5</formula>
    </cfRule>
    <cfRule type="cellIs" dxfId="1" priority="2" operator="between">
      <formula>5</formula>
      <formula>10</formula>
    </cfRule>
  </conditionalFormatting>
  <dataValidations count="2">
    <dataValidation type="decimal" operator="greaterThan" allowBlank="1" showInputMessage="1" showErrorMessage="1" errorTitle="DATO INCORRECTO" error="Sólo se admiten números decimales positivos" sqref="B5:D13">
      <formula1>0</formula1>
    </dataValidation>
    <dataValidation type="whole" allowBlank="1" showInputMessage="1" showErrorMessage="1" errorTitle="DATO INCORRECTO" error="Solo se admiten numeros decimales positivos _x000a_" sqref="C18:C20">
      <formula1>0</formula1>
      <formula2>999999999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6</xdr:col>
                    <xdr:colOff>19050</xdr:colOff>
                    <xdr:row>2</xdr:row>
                    <xdr:rowOff>171450</xdr:rowOff>
                  </from>
                  <to>
                    <xdr:col>10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ón2_Haga_clic_en">
                <anchor moveWithCells="1" sizeWithCells="1">
                  <from>
                    <xdr:col>6</xdr:col>
                    <xdr:colOff>19050</xdr:colOff>
                    <xdr:row>5</xdr:row>
                    <xdr:rowOff>28575</xdr:rowOff>
                  </from>
                  <to>
                    <xdr:col>11</xdr:col>
                    <xdr:colOff>9525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I10" sqref="I10"/>
    </sheetView>
  </sheetViews>
  <sheetFormatPr baseColWidth="10" defaultRowHeight="15" x14ac:dyDescent="0.25"/>
  <cols>
    <col min="1" max="1" width="30" bestFit="1" customWidth="1"/>
    <col min="2" max="2" width="22.42578125" bestFit="1" customWidth="1"/>
    <col min="3" max="3" width="10" bestFit="1" customWidth="1"/>
    <col min="4" max="4" width="12.140625" bestFit="1" customWidth="1"/>
  </cols>
  <sheetData>
    <row r="1" spans="1:4" ht="15.75" x14ac:dyDescent="0.25">
      <c r="A1" s="11" t="s">
        <v>14</v>
      </c>
      <c r="B1" s="46" t="s">
        <v>9</v>
      </c>
    </row>
    <row r="2" spans="1:4" ht="15.75" x14ac:dyDescent="0.25">
      <c r="A2" s="11" t="s">
        <v>15</v>
      </c>
      <c r="B2" s="47" t="str">
        <f>IF(D5&gt;=8,"APROBADO ALTO ",IF(D5&gt;=5,"APROBADO",IF(D5&lt;5,"SUSPENSO")))</f>
        <v>APROBADO</v>
      </c>
    </row>
    <row r="3" spans="1:4" ht="15.75" thickBot="1" x14ac:dyDescent="0.3"/>
    <row r="4" spans="1:4" ht="16.5" thickTop="1" thickBot="1" x14ac:dyDescent="0.3">
      <c r="A4" s="43" t="s">
        <v>38</v>
      </c>
      <c r="B4" s="44" t="s">
        <v>39</v>
      </c>
      <c r="C4" s="44" t="s">
        <v>40</v>
      </c>
      <c r="D4" s="45" t="s">
        <v>41</v>
      </c>
    </row>
    <row r="5" spans="1:4" ht="16.5" thickTop="1" thickBot="1" x14ac:dyDescent="0.3">
      <c r="A5" s="48">
        <f>VLOOKUP(B1,'Ejercicio 1'!A5:B9,2,0)</f>
        <v>8</v>
      </c>
      <c r="B5" s="49">
        <f>VLOOKUP(B1,'Ejercicio 1'!A5:C9,3,0)</f>
        <v>8</v>
      </c>
      <c r="C5" s="49">
        <f>VLOOKUP(B1,'Ejercicio 1'!A5:D9,4,0)</f>
        <v>6.5</v>
      </c>
      <c r="D5" s="50">
        <f>VLOOKUP(B1,'Ejercicio 1'!A5:E9,5,0)</f>
        <v>7.7749999999999995</v>
      </c>
    </row>
    <row r="6" spans="1:4" ht="15.75" thickTop="1" x14ac:dyDescent="0.25"/>
  </sheetData>
  <sheetProtection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'Ejercicio 1'!$A$5:$A$9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G19" sqref="G19"/>
    </sheetView>
  </sheetViews>
  <sheetFormatPr baseColWidth="10" defaultRowHeight="15" x14ac:dyDescent="0.25"/>
  <cols>
    <col min="1" max="1" width="10.28515625" bestFit="1" customWidth="1"/>
    <col min="2" max="2" width="19.5703125" bestFit="1" customWidth="1"/>
    <col min="3" max="3" width="17.7109375" bestFit="1" customWidth="1"/>
    <col min="4" max="4" width="15.5703125" bestFit="1" customWidth="1"/>
    <col min="5" max="5" width="9.5703125" bestFit="1" customWidth="1"/>
    <col min="6" max="6" width="9.42578125" bestFit="1" customWidth="1"/>
    <col min="7" max="7" width="24" bestFit="1" customWidth="1"/>
  </cols>
  <sheetData>
    <row r="1" spans="1:7" ht="15.75" thickBot="1" x14ac:dyDescent="0.3">
      <c r="A1" s="12" t="s">
        <v>16</v>
      </c>
      <c r="B1" s="12"/>
      <c r="C1" s="12"/>
      <c r="D1" s="12"/>
      <c r="E1" s="12"/>
      <c r="F1" s="12"/>
      <c r="G1" s="12"/>
    </row>
    <row r="2" spans="1:7" ht="15.75" thickBot="1" x14ac:dyDescent="0.3">
      <c r="A2" s="59" t="s">
        <v>17</v>
      </c>
      <c r="B2" s="59" t="s">
        <v>18</v>
      </c>
      <c r="C2" s="59" t="s">
        <v>19</v>
      </c>
      <c r="D2" s="59" t="s">
        <v>20</v>
      </c>
      <c r="E2" s="59" t="s">
        <v>21</v>
      </c>
      <c r="F2" s="59" t="s">
        <v>22</v>
      </c>
      <c r="G2" s="64" t="s">
        <v>23</v>
      </c>
    </row>
    <row r="3" spans="1:7" ht="15.75" thickBot="1" x14ac:dyDescent="0.3">
      <c r="A3" s="51" t="s">
        <v>24</v>
      </c>
      <c r="B3" s="52">
        <v>38596</v>
      </c>
      <c r="C3" s="52">
        <v>38615</v>
      </c>
      <c r="D3" s="53">
        <f>C3-B3</f>
        <v>19</v>
      </c>
      <c r="E3" s="53">
        <f>IF(D3&gt;$B$14,D3-$B$14,0)</f>
        <v>4</v>
      </c>
      <c r="F3" s="54">
        <f>E3*$B$15</f>
        <v>12</v>
      </c>
      <c r="G3" s="55" t="str">
        <f>IF(E3=0,"DEVOLUCION CORRECTA",IF(E3&gt;0,"SANCIONADO"))</f>
        <v>SANCIONADO</v>
      </c>
    </row>
    <row r="4" spans="1:7" ht="15.75" thickBot="1" x14ac:dyDescent="0.3">
      <c r="A4" s="51" t="s">
        <v>25</v>
      </c>
      <c r="B4" s="52">
        <v>38615</v>
      </c>
      <c r="C4" s="52">
        <v>38623</v>
      </c>
      <c r="D4" s="53">
        <f t="shared" ref="D4:D12" si="0">C4-B4</f>
        <v>8</v>
      </c>
      <c r="E4" s="53">
        <f t="shared" ref="E4:E12" si="1">IF(D4&gt;$B$14,D4-$B$14,0)</f>
        <v>0</v>
      </c>
      <c r="F4" s="54">
        <f t="shared" ref="F4:F12" si="2">E4*$B$15</f>
        <v>0</v>
      </c>
      <c r="G4" s="55" t="str">
        <f t="shared" ref="G4:G12" si="3">IF(E4=0,"DEVOLUCION CORRECTA",IF(E4&gt;0,"SANCIONADO"))</f>
        <v>DEVOLUCION CORRECTA</v>
      </c>
    </row>
    <row r="5" spans="1:7" ht="15.75" thickBot="1" x14ac:dyDescent="0.3">
      <c r="A5" s="51" t="s">
        <v>26</v>
      </c>
      <c r="B5" s="52">
        <v>38528</v>
      </c>
      <c r="C5" s="52">
        <v>38562</v>
      </c>
      <c r="D5" s="53">
        <f t="shared" si="0"/>
        <v>34</v>
      </c>
      <c r="E5" s="53">
        <f t="shared" si="1"/>
        <v>19</v>
      </c>
      <c r="F5" s="54">
        <f t="shared" si="2"/>
        <v>57</v>
      </c>
      <c r="G5" s="55" t="str">
        <f t="shared" si="3"/>
        <v>SANCIONADO</v>
      </c>
    </row>
    <row r="6" spans="1:7" ht="15.75" thickBot="1" x14ac:dyDescent="0.3">
      <c r="A6" s="51" t="s">
        <v>27</v>
      </c>
      <c r="B6" s="52">
        <v>38597</v>
      </c>
      <c r="C6" s="52">
        <v>38623</v>
      </c>
      <c r="D6" s="53">
        <f t="shared" si="0"/>
        <v>26</v>
      </c>
      <c r="E6" s="53">
        <f t="shared" si="1"/>
        <v>11</v>
      </c>
      <c r="F6" s="54">
        <f t="shared" si="2"/>
        <v>33</v>
      </c>
      <c r="G6" s="55" t="str">
        <f t="shared" si="3"/>
        <v>SANCIONADO</v>
      </c>
    </row>
    <row r="7" spans="1:7" ht="15.75" thickBot="1" x14ac:dyDescent="0.3">
      <c r="A7" s="51" t="s">
        <v>28</v>
      </c>
      <c r="B7" s="52">
        <v>38600</v>
      </c>
      <c r="C7" s="52">
        <v>38604</v>
      </c>
      <c r="D7" s="53">
        <f t="shared" si="0"/>
        <v>4</v>
      </c>
      <c r="E7" s="53">
        <f t="shared" si="1"/>
        <v>0</v>
      </c>
      <c r="F7" s="54">
        <f t="shared" si="2"/>
        <v>0</v>
      </c>
      <c r="G7" s="55" t="str">
        <f t="shared" si="3"/>
        <v>DEVOLUCION CORRECTA</v>
      </c>
    </row>
    <row r="8" spans="1:7" ht="15.75" thickBot="1" x14ac:dyDescent="0.3">
      <c r="A8" s="51" t="s">
        <v>29</v>
      </c>
      <c r="B8" s="52">
        <v>38605</v>
      </c>
      <c r="C8" s="52">
        <v>38617</v>
      </c>
      <c r="D8" s="53">
        <f t="shared" si="0"/>
        <v>12</v>
      </c>
      <c r="E8" s="53">
        <f t="shared" si="1"/>
        <v>0</v>
      </c>
      <c r="F8" s="54">
        <f t="shared" si="2"/>
        <v>0</v>
      </c>
      <c r="G8" s="55" t="str">
        <f t="shared" si="3"/>
        <v>DEVOLUCION CORRECTA</v>
      </c>
    </row>
    <row r="9" spans="1:7" ht="15.75" thickBot="1" x14ac:dyDescent="0.3">
      <c r="A9" s="51" t="s">
        <v>30</v>
      </c>
      <c r="B9" s="52">
        <v>38602</v>
      </c>
      <c r="C9" s="52">
        <v>38626</v>
      </c>
      <c r="D9" s="53">
        <f t="shared" si="0"/>
        <v>24</v>
      </c>
      <c r="E9" s="53">
        <f t="shared" si="1"/>
        <v>9</v>
      </c>
      <c r="F9" s="54">
        <f t="shared" si="2"/>
        <v>27</v>
      </c>
      <c r="G9" s="55" t="str">
        <f t="shared" si="3"/>
        <v>SANCIONADO</v>
      </c>
    </row>
    <row r="10" spans="1:7" ht="15.75" thickBot="1" x14ac:dyDescent="0.3">
      <c r="A10" s="51" t="s">
        <v>31</v>
      </c>
      <c r="B10" s="52">
        <v>38598</v>
      </c>
      <c r="C10" s="52">
        <v>38607</v>
      </c>
      <c r="D10" s="53">
        <f t="shared" si="0"/>
        <v>9</v>
      </c>
      <c r="E10" s="53">
        <f t="shared" si="1"/>
        <v>0</v>
      </c>
      <c r="F10" s="54">
        <f t="shared" si="2"/>
        <v>0</v>
      </c>
      <c r="G10" s="55" t="str">
        <f t="shared" si="3"/>
        <v>DEVOLUCION CORRECTA</v>
      </c>
    </row>
    <row r="11" spans="1:7" ht="15.75" thickBot="1" x14ac:dyDescent="0.3">
      <c r="A11" s="51" t="s">
        <v>32</v>
      </c>
      <c r="B11" s="52">
        <v>38616</v>
      </c>
      <c r="C11" s="52">
        <v>38633</v>
      </c>
      <c r="D11" s="53">
        <f t="shared" si="0"/>
        <v>17</v>
      </c>
      <c r="E11" s="53">
        <f t="shared" si="1"/>
        <v>2</v>
      </c>
      <c r="F11" s="54">
        <f t="shared" si="2"/>
        <v>6</v>
      </c>
      <c r="G11" s="55" t="str">
        <f t="shared" si="3"/>
        <v>SANCIONADO</v>
      </c>
    </row>
    <row r="12" spans="1:7" ht="15.75" thickBot="1" x14ac:dyDescent="0.3">
      <c r="A12" s="51" t="s">
        <v>33</v>
      </c>
      <c r="B12" s="52">
        <v>38596</v>
      </c>
      <c r="C12" s="52">
        <v>38616</v>
      </c>
      <c r="D12" s="53">
        <f t="shared" si="0"/>
        <v>20</v>
      </c>
      <c r="E12" s="53">
        <f t="shared" si="1"/>
        <v>5</v>
      </c>
      <c r="F12" s="54">
        <f t="shared" si="2"/>
        <v>15</v>
      </c>
      <c r="G12" s="55" t="str">
        <f t="shared" si="3"/>
        <v>SANCIONADO</v>
      </c>
    </row>
    <row r="13" spans="1:7" ht="15.75" thickBot="1" x14ac:dyDescent="0.3">
      <c r="A13" s="26"/>
      <c r="B13" s="26"/>
      <c r="C13" s="26"/>
      <c r="D13" s="26"/>
      <c r="E13" s="51"/>
      <c r="F13" s="51"/>
      <c r="G13" s="26"/>
    </row>
    <row r="14" spans="1:7" ht="15.75" thickBot="1" x14ac:dyDescent="0.3">
      <c r="A14" s="61" t="s">
        <v>34</v>
      </c>
      <c r="B14" s="62">
        <v>15</v>
      </c>
      <c r="C14" s="56"/>
      <c r="D14" s="56"/>
      <c r="E14" s="65" t="s">
        <v>35</v>
      </c>
      <c r="F14" s="57">
        <f>SUM(F3:F12)</f>
        <v>150</v>
      </c>
      <c r="G14" s="56"/>
    </row>
    <row r="15" spans="1:7" ht="15.75" thickBot="1" x14ac:dyDescent="0.3">
      <c r="A15" s="61" t="s">
        <v>36</v>
      </c>
      <c r="B15" s="63">
        <v>3</v>
      </c>
      <c r="C15" s="56"/>
      <c r="D15" s="56"/>
      <c r="E15" s="56"/>
      <c r="F15" s="56"/>
      <c r="G15" s="56"/>
    </row>
    <row r="16" spans="1:7" ht="15.75" thickBot="1" x14ac:dyDescent="0.3">
      <c r="A16" s="56"/>
      <c r="B16" s="56"/>
      <c r="C16" s="56"/>
      <c r="D16" s="58" t="s">
        <v>37</v>
      </c>
      <c r="E16" s="58"/>
      <c r="F16" s="58"/>
      <c r="G16" s="60">
        <f>COUNTIF(G3:G12,"SANCIONADO")</f>
        <v>6</v>
      </c>
    </row>
  </sheetData>
  <mergeCells count="2">
    <mergeCell ref="A1:G1"/>
    <mergeCell ref="D16:F16"/>
  </mergeCells>
  <conditionalFormatting sqref="G3:G12">
    <cfRule type="cellIs" dxfId="0" priority="1" operator="equal">
      <formula>"SANCIONADO"</formula>
    </cfRule>
  </conditionalFormatting>
  <dataValidations count="1">
    <dataValidation type="date" operator="greaterThan" allowBlank="1" showInputMessage="1" showErrorMessage="1" errorTitle="Dato incorrecto " error="Debe introducirse una fecha " sqref="B3:C12">
      <formula1>25569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4"/>
  <sheetViews>
    <sheetView workbookViewId="0">
      <selection activeCell="H13" sqref="H13"/>
    </sheetView>
  </sheetViews>
  <sheetFormatPr baseColWidth="10" defaultRowHeight="15" x14ac:dyDescent="0.25"/>
  <cols>
    <col min="1" max="1" width="17.5703125" bestFit="1" customWidth="1"/>
    <col min="2" max="2" width="21.5703125" bestFit="1" customWidth="1"/>
    <col min="3" max="3" width="17.28515625" bestFit="1" customWidth="1"/>
  </cols>
  <sheetData>
    <row r="3" spans="1:3" x14ac:dyDescent="0.25">
      <c r="A3" s="66" t="s">
        <v>42</v>
      </c>
      <c r="B3" t="s">
        <v>44</v>
      </c>
      <c r="C3" t="s">
        <v>45</v>
      </c>
    </row>
    <row r="4" spans="1:3" x14ac:dyDescent="0.25">
      <c r="A4" s="67" t="s">
        <v>28</v>
      </c>
      <c r="B4" s="68">
        <v>0</v>
      </c>
      <c r="C4" s="68">
        <v>0</v>
      </c>
    </row>
    <row r="5" spans="1:3" x14ac:dyDescent="0.25">
      <c r="A5" s="67" t="s">
        <v>30</v>
      </c>
      <c r="B5" s="68">
        <v>9</v>
      </c>
      <c r="C5" s="68">
        <v>27</v>
      </c>
    </row>
    <row r="6" spans="1:3" x14ac:dyDescent="0.25">
      <c r="A6" s="67" t="s">
        <v>27</v>
      </c>
      <c r="B6" s="68">
        <v>11</v>
      </c>
      <c r="C6" s="68">
        <v>33</v>
      </c>
    </row>
    <row r="7" spans="1:3" x14ac:dyDescent="0.25">
      <c r="A7" s="67" t="s">
        <v>24</v>
      </c>
      <c r="B7" s="68">
        <v>4</v>
      </c>
      <c r="C7" s="68">
        <v>12</v>
      </c>
    </row>
    <row r="8" spans="1:3" x14ac:dyDescent="0.25">
      <c r="A8" s="67" t="s">
        <v>29</v>
      </c>
      <c r="B8" s="68">
        <v>0</v>
      </c>
      <c r="C8" s="68">
        <v>0</v>
      </c>
    </row>
    <row r="9" spans="1:3" x14ac:dyDescent="0.25">
      <c r="A9" s="67" t="s">
        <v>26</v>
      </c>
      <c r="B9" s="68">
        <v>19</v>
      </c>
      <c r="C9" s="68">
        <v>57</v>
      </c>
    </row>
    <row r="10" spans="1:3" x14ac:dyDescent="0.25">
      <c r="A10" s="67" t="s">
        <v>33</v>
      </c>
      <c r="B10" s="68">
        <v>5</v>
      </c>
      <c r="C10" s="68">
        <v>15</v>
      </c>
    </row>
    <row r="11" spans="1:3" x14ac:dyDescent="0.25">
      <c r="A11" s="67" t="s">
        <v>32</v>
      </c>
      <c r="B11" s="68">
        <v>2</v>
      </c>
      <c r="C11" s="68">
        <v>6</v>
      </c>
    </row>
    <row r="12" spans="1:3" x14ac:dyDescent="0.25">
      <c r="A12" s="67" t="s">
        <v>31</v>
      </c>
      <c r="B12" s="68">
        <v>0</v>
      </c>
      <c r="C12" s="68">
        <v>0</v>
      </c>
    </row>
    <row r="13" spans="1:3" x14ac:dyDescent="0.25">
      <c r="A13" s="67" t="s">
        <v>25</v>
      </c>
      <c r="B13" s="68">
        <v>0</v>
      </c>
      <c r="C13" s="68">
        <v>0</v>
      </c>
    </row>
    <row r="14" spans="1:3" x14ac:dyDescent="0.25">
      <c r="A14" s="67" t="s">
        <v>43</v>
      </c>
      <c r="B14" s="68">
        <v>5</v>
      </c>
      <c r="C14" s="68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Ejercicio 1</vt:lpstr>
      <vt:lpstr>Ejercicio 2</vt:lpstr>
      <vt:lpstr>Ejercicio 3</vt:lpstr>
      <vt:lpstr>Ejercicio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2022-03-01T07:40:42Z</dcterms:modified>
</cp:coreProperties>
</file>