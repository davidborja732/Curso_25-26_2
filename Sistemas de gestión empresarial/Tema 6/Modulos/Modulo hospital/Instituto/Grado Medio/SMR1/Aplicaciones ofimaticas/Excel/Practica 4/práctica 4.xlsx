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/>
  <mc:AlternateContent xmlns:mc="http://schemas.openxmlformats.org/markup-compatibility/2006">
    <mc:Choice Requires="x15">
      <x15ac:absPath xmlns:x15ac="http://schemas.microsoft.com/office/spreadsheetml/2010/11/ac" url="D:\Aplicaciones ofimaticas\Excel\Practica 4\"/>
    </mc:Choice>
  </mc:AlternateContent>
  <xr:revisionPtr revIDLastSave="0" documentId="13_ncr:1_{DD830CC6-CCC7-4A1E-82FA-74E65F88D9AE}" xr6:coauthVersionLast="36" xr6:coauthVersionMax="36" xr10:uidLastSave="{00000000-0000-0000-0000-000000000000}"/>
  <bookViews>
    <workbookView xWindow="0" yWindow="0" windowWidth="20490" windowHeight="7650" activeTab="1" xr2:uid="{00000000-000D-0000-FFFF-FFFF00000000}"/>
  </bookViews>
  <sheets>
    <sheet name="Ejercicio 1" sheetId="1" r:id="rId1"/>
    <sheet name="Ejercicio 2" sheetId="2" r:id="rId2"/>
    <sheet name="Ejercicio 3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0" i="3" l="1"/>
  <c r="F19" i="3"/>
  <c r="F17" i="3"/>
  <c r="F16" i="3"/>
  <c r="D13" i="3"/>
  <c r="E13" i="3"/>
  <c r="C13" i="3"/>
  <c r="C25" i="2"/>
  <c r="C17" i="3"/>
  <c r="C16" i="3"/>
  <c r="D10" i="3"/>
  <c r="E10" i="3"/>
  <c r="C10" i="3"/>
  <c r="F5" i="3"/>
  <c r="F6" i="3"/>
  <c r="F7" i="3"/>
  <c r="F8" i="3"/>
  <c r="F9" i="3"/>
  <c r="F4" i="3"/>
  <c r="D19" i="2" l="1"/>
  <c r="D18" i="2"/>
  <c r="D17" i="2"/>
  <c r="N14" i="2"/>
  <c r="L14" i="2"/>
  <c r="J14" i="2"/>
  <c r="H14" i="2"/>
  <c r="F14" i="2"/>
  <c r="D14" i="2"/>
  <c r="O13" i="2"/>
  <c r="M13" i="2"/>
  <c r="K13" i="2"/>
  <c r="I13" i="2"/>
  <c r="G13" i="2"/>
  <c r="E13" i="2"/>
  <c r="O12" i="2"/>
  <c r="M12" i="2"/>
  <c r="K12" i="2"/>
  <c r="I12" i="2"/>
  <c r="G12" i="2"/>
  <c r="E12" i="2"/>
  <c r="O11" i="2"/>
  <c r="M11" i="2"/>
  <c r="K11" i="2"/>
  <c r="I11" i="2"/>
  <c r="G11" i="2"/>
  <c r="E11" i="2"/>
  <c r="O10" i="2"/>
  <c r="M10" i="2"/>
  <c r="K10" i="2"/>
  <c r="I10" i="2"/>
  <c r="G10" i="2"/>
  <c r="E10" i="2"/>
  <c r="O9" i="2"/>
  <c r="M9" i="2"/>
  <c r="K9" i="2"/>
  <c r="I9" i="2"/>
  <c r="G9" i="2"/>
  <c r="E9" i="2"/>
  <c r="O8" i="2"/>
  <c r="M8" i="2"/>
  <c r="K8" i="2"/>
  <c r="I8" i="2"/>
  <c r="G8" i="2"/>
  <c r="E8" i="2"/>
  <c r="O7" i="2"/>
  <c r="M7" i="2"/>
  <c r="K7" i="2"/>
  <c r="I7" i="2"/>
  <c r="G7" i="2"/>
  <c r="E7" i="2"/>
  <c r="O6" i="2"/>
  <c r="M6" i="2"/>
  <c r="K6" i="2"/>
  <c r="I6" i="2"/>
  <c r="G6" i="2"/>
  <c r="E6" i="2"/>
  <c r="O5" i="2"/>
  <c r="M5" i="2"/>
  <c r="K5" i="2"/>
  <c r="I5" i="2"/>
  <c r="G5" i="2"/>
  <c r="E5" i="2"/>
  <c r="P8" i="2" l="1"/>
  <c r="P12" i="2"/>
  <c r="P6" i="2"/>
  <c r="P10" i="2"/>
  <c r="D25" i="2"/>
  <c r="C26" i="2"/>
  <c r="P5" i="2"/>
  <c r="D22" i="2"/>
  <c r="D20" i="2"/>
  <c r="D21" i="2"/>
  <c r="P7" i="2"/>
  <c r="P9" i="2"/>
  <c r="P11" i="2"/>
  <c r="P13" i="2"/>
  <c r="B2" i="1"/>
  <c r="E3" i="1"/>
  <c r="D26" i="2" l="1"/>
</calcChain>
</file>

<file path=xl/sharedStrings.xml><?xml version="1.0" encoding="utf-8"?>
<sst xmlns="http://schemas.openxmlformats.org/spreadsheetml/2006/main" count="70" uniqueCount="58">
  <si>
    <t>LISTA</t>
  </si>
  <si>
    <t>¿Cuántos valores numericos hay en la lista?</t>
  </si>
  <si>
    <t xml:space="preserve">¿Cuántas Veces se repite este numero? </t>
  </si>
  <si>
    <t>A038</t>
  </si>
  <si>
    <t>Aplicaciones ofimaticas</t>
  </si>
  <si>
    <t xml:space="preserve">Sistemas Operatvos Monopuesto </t>
  </si>
  <si>
    <t xml:space="preserve">Montaje Y Mantenimiento de equipos </t>
  </si>
  <si>
    <t>Redes Locales</t>
  </si>
  <si>
    <t xml:space="preserve">Formacion y Orientacion Laboral </t>
  </si>
  <si>
    <t>Ingles</t>
  </si>
  <si>
    <t>Nota</t>
  </si>
  <si>
    <t>Calificacion</t>
  </si>
  <si>
    <t>A001</t>
  </si>
  <si>
    <t>Antonio Melero Rubio</t>
  </si>
  <si>
    <t>A002</t>
  </si>
  <si>
    <t>Sara Vicente Tejedor</t>
  </si>
  <si>
    <t>A003</t>
  </si>
  <si>
    <t>Vicente Bruno Perez</t>
  </si>
  <si>
    <t>A004</t>
  </si>
  <si>
    <t>Erique Gonzalez Tomas</t>
  </si>
  <si>
    <t>A005</t>
  </si>
  <si>
    <t>Mario Alonso Fernandez</t>
  </si>
  <si>
    <t>A006</t>
  </si>
  <si>
    <t>Fernando Ruiz Calatraba</t>
  </si>
  <si>
    <t>A007</t>
  </si>
  <si>
    <t>Ester Teruel Martin</t>
  </si>
  <si>
    <t>A008</t>
  </si>
  <si>
    <t>Ana Victoria Ruiz Escobar</t>
  </si>
  <si>
    <t>A009</t>
  </si>
  <si>
    <t>Guillermo Torres Andres</t>
  </si>
  <si>
    <t>TOTAL ALUMNOS</t>
  </si>
  <si>
    <t>NOTA MAXIMA</t>
  </si>
  <si>
    <t>NOTA MINIMA</t>
  </si>
  <si>
    <t>NOTA MEDIA</t>
  </si>
  <si>
    <t>NOTA MAS REPETIDA</t>
  </si>
  <si>
    <t>MEDIANA</t>
  </si>
  <si>
    <t xml:space="preserve">APROBADOS </t>
  </si>
  <si>
    <t>SUSPENSOS</t>
  </si>
  <si>
    <t>NUMERO</t>
  </si>
  <si>
    <t xml:space="preserve">Enero </t>
  </si>
  <si>
    <t>Febrero</t>
  </si>
  <si>
    <t>Marzo</t>
  </si>
  <si>
    <t>Abril</t>
  </si>
  <si>
    <t>Mayo</t>
  </si>
  <si>
    <t>Junio</t>
  </si>
  <si>
    <t>MEDIA</t>
  </si>
  <si>
    <t xml:space="preserve">RENAULT MEGANE </t>
  </si>
  <si>
    <t>SEAT IBIZA</t>
  </si>
  <si>
    <t>CITOREN C4</t>
  </si>
  <si>
    <t xml:space="preserve">Nº VENTAS SUPERIORES A </t>
  </si>
  <si>
    <t>MAS INFORMACION</t>
  </si>
  <si>
    <t xml:space="preserve">MODA </t>
  </si>
  <si>
    <t xml:space="preserve">VALOR MAXIMO </t>
  </si>
  <si>
    <t xml:space="preserve">VALOR MINIMO </t>
  </si>
  <si>
    <t xml:space="preserve">Teniendo en cuenta que el numero de modelos evaluados es </t>
  </si>
  <si>
    <t>Se puede afirmar que la media de ventas del primer trimestre en 2010 es de</t>
  </si>
  <si>
    <t>VENTAS AUTOMOVILISTICAS 2010                                                                            Primer trimestre</t>
  </si>
  <si>
    <t>PORCENTAJE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</si>
</sst>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€&quot;"/>
  </numFmts>
  <fonts count="6" x14ac:knownFonts="1">
    <font>
      <sz val="11"/>
      <color theme="1"/>
      <name val="Calibri"/>
      <family val="2"/>
      <scheme val="minor"/>
    </font>
    <font>
      <sz val="84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7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Dashed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Dashed">
        <color auto="1"/>
      </bottom>
      <diagonal/>
    </border>
    <border>
      <left style="medium">
        <color auto="1"/>
      </left>
      <right style="medium">
        <color auto="1"/>
      </right>
      <top style="mediumDashed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Dashed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thick">
        <color auto="1"/>
      </top>
      <bottom style="thick">
        <color auto="1"/>
      </bottom>
      <diagonal/>
    </border>
    <border>
      <left style="dashed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thick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thick">
        <color auto="1"/>
      </right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dashed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rgb="FF0070C0"/>
      </left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 style="thick">
        <color auto="1"/>
      </left>
      <right/>
      <top/>
      <bottom/>
      <diagonal/>
    </border>
    <border>
      <left style="thick">
        <color rgb="FF0070C0"/>
      </left>
      <right style="thick">
        <color rgb="FF0070C0"/>
      </right>
      <top style="dashed">
        <color rgb="FF0070C0"/>
      </top>
      <bottom style="dashed">
        <color rgb="FF0070C0"/>
      </bottom>
      <diagonal/>
    </border>
    <border>
      <left style="thick">
        <color rgb="FF0070C0"/>
      </left>
      <right style="thick">
        <color rgb="FF0070C0"/>
      </right>
      <top style="thick">
        <color rgb="FF0070C0"/>
      </top>
      <bottom/>
      <diagonal/>
    </border>
    <border>
      <left style="thick">
        <color rgb="FF0070C0"/>
      </left>
      <right style="thick">
        <color rgb="FF0070C0"/>
      </right>
      <top/>
      <bottom style="thick">
        <color rgb="FF0070C0"/>
      </bottom>
      <diagonal/>
    </border>
    <border>
      <left style="thick">
        <color rgb="FF0070C0"/>
      </left>
      <right style="thick">
        <color rgb="FF0070C0"/>
      </right>
      <top/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thick">
        <color rgb="FF0070C0"/>
      </left>
      <right style="mediumDashed">
        <color rgb="FF0070C0"/>
      </right>
      <top style="thick">
        <color rgb="FF0070C0"/>
      </top>
      <bottom style="dashed">
        <color rgb="FF0070C0"/>
      </bottom>
      <diagonal/>
    </border>
    <border>
      <left style="mediumDashed">
        <color rgb="FF0070C0"/>
      </left>
      <right style="thick">
        <color rgb="FF0070C0"/>
      </right>
      <top style="thick">
        <color rgb="FF0070C0"/>
      </top>
      <bottom style="dashed">
        <color rgb="FF0070C0"/>
      </bottom>
      <diagonal/>
    </border>
    <border>
      <left style="thick">
        <color rgb="FF0070C0"/>
      </left>
      <right style="mediumDashed">
        <color rgb="FF0070C0"/>
      </right>
      <top style="dashed">
        <color rgb="FF0070C0"/>
      </top>
      <bottom style="dashed">
        <color rgb="FF0070C0"/>
      </bottom>
      <diagonal/>
    </border>
    <border>
      <left style="mediumDashed">
        <color rgb="FF0070C0"/>
      </left>
      <right style="thick">
        <color rgb="FF0070C0"/>
      </right>
      <top style="dashed">
        <color rgb="FF0070C0"/>
      </top>
      <bottom style="dashed">
        <color rgb="FF0070C0"/>
      </bottom>
      <diagonal/>
    </border>
    <border>
      <left style="thick">
        <color rgb="FF0070C0"/>
      </left>
      <right style="mediumDashed">
        <color rgb="FF0070C0"/>
      </right>
      <top style="dashed">
        <color rgb="FF0070C0"/>
      </top>
      <bottom style="thick">
        <color rgb="FF0070C0"/>
      </bottom>
      <diagonal/>
    </border>
    <border>
      <left style="mediumDashed">
        <color rgb="FF0070C0"/>
      </left>
      <right style="thick">
        <color rgb="FF0070C0"/>
      </right>
      <top style="dashed">
        <color rgb="FF0070C0"/>
      </top>
      <bottom style="thick">
        <color rgb="FF0070C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2" fontId="0" fillId="0" borderId="0" xfId="0" applyNumberFormat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65" fontId="0" fillId="0" borderId="2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165" fontId="0" fillId="0" borderId="18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165" fontId="3" fillId="0" borderId="0" xfId="0" applyNumberFormat="1" applyFont="1" applyAlignment="1">
      <alignment horizontal="center"/>
    </xf>
    <xf numFmtId="165" fontId="0" fillId="0" borderId="19" xfId="0" applyNumberForma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4" fillId="2" borderId="0" xfId="0" applyFont="1" applyFill="1" applyAlignment="1">
      <alignment horizontal="center" wrapText="1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2" fontId="0" fillId="0" borderId="29" xfId="0" applyNumberFormat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3" fillId="0" borderId="0" xfId="0" applyFont="1"/>
    <xf numFmtId="0" fontId="3" fillId="0" borderId="23" xfId="0" applyFont="1" applyBorder="1" applyAlignment="1">
      <alignment horizontal="center"/>
    </xf>
    <xf numFmtId="0" fontId="3" fillId="0" borderId="23" xfId="0" applyFont="1" applyBorder="1" applyAlignment="1">
      <alignment horizontal="center" wrapText="1"/>
    </xf>
    <xf numFmtId="0" fontId="3" fillId="0" borderId="23" xfId="0" applyFont="1" applyBorder="1"/>
    <xf numFmtId="0" fontId="3" fillId="0" borderId="31" xfId="0" applyFont="1" applyBorder="1"/>
    <xf numFmtId="0" fontId="3" fillId="0" borderId="32" xfId="0" applyFont="1" applyBorder="1" applyAlignment="1">
      <alignment wrapText="1"/>
    </xf>
    <xf numFmtId="0" fontId="3" fillId="0" borderId="26" xfId="0" applyFont="1" applyBorder="1"/>
    <xf numFmtId="0" fontId="3" fillId="0" borderId="33" xfId="0" applyFont="1" applyBorder="1"/>
    <xf numFmtId="0" fontId="3" fillId="0" borderId="34" xfId="0" applyFont="1" applyBorder="1" applyAlignment="1">
      <alignment wrapText="1"/>
    </xf>
    <xf numFmtId="0" fontId="3" fillId="0" borderId="25" xfId="0" applyFont="1" applyBorder="1"/>
    <xf numFmtId="0" fontId="3" fillId="0" borderId="34" xfId="0" applyFont="1" applyFill="1" applyBorder="1" applyAlignment="1">
      <alignment wrapText="1"/>
    </xf>
    <xf numFmtId="0" fontId="3" fillId="0" borderId="25" xfId="0" applyFont="1" applyFill="1" applyBorder="1"/>
    <xf numFmtId="0" fontId="3" fillId="0" borderId="35" xfId="0" applyFont="1" applyBorder="1"/>
    <xf numFmtId="0" fontId="3" fillId="0" borderId="36" xfId="0" applyFont="1" applyBorder="1" applyAlignment="1">
      <alignment wrapText="1"/>
    </xf>
    <xf numFmtId="0" fontId="3" fillId="0" borderId="27" xfId="0" applyFont="1" applyBorder="1"/>
    <xf numFmtId="0" fontId="3" fillId="0" borderId="28" xfId="0" applyFont="1" applyBorder="1"/>
    <xf numFmtId="2" fontId="3" fillId="0" borderId="26" xfId="0" applyNumberFormat="1" applyFont="1" applyBorder="1"/>
    <xf numFmtId="2" fontId="3" fillId="0" borderId="25" xfId="0" applyNumberFormat="1" applyFont="1" applyBorder="1"/>
    <xf numFmtId="2" fontId="3" fillId="0" borderId="27" xfId="0" applyNumberFormat="1" applyFont="1" applyBorder="1"/>
    <xf numFmtId="0" fontId="3" fillId="0" borderId="22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2" fontId="5" fillId="0" borderId="23" xfId="0" applyNumberFormat="1" applyFont="1" applyBorder="1" applyAlignment="1">
      <alignment horizontal="center"/>
    </xf>
    <xf numFmtId="10" fontId="5" fillId="0" borderId="23" xfId="0" applyNumberFormat="1" applyFont="1" applyBorder="1" applyAlignment="1">
      <alignment horizontal="center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licaciones%20ofimaticas/Excel/Repaso%201/Repaso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jercicio 4-notas"/>
      <sheetName val="Ejercicio 4"/>
      <sheetName val="Ejercicio 4-busqueda de alumnos"/>
      <sheetName val="Ejercicio 4-Busqueda de modulo "/>
    </sheetNames>
    <sheetDataSet>
      <sheetData sheetId="0">
        <row r="25">
          <cell r="B25" t="str">
            <v>NOTA</v>
          </cell>
          <cell r="C25" t="str">
            <v>CALIFICACION</v>
          </cell>
        </row>
        <row r="26">
          <cell r="B26">
            <v>1</v>
          </cell>
          <cell r="C26" t="str">
            <v>Muy deficiente</v>
          </cell>
        </row>
        <row r="27">
          <cell r="B27">
            <v>2</v>
          </cell>
          <cell r="C27" t="str">
            <v>Muy deficiente</v>
          </cell>
        </row>
        <row r="28">
          <cell r="B28">
            <v>3</v>
          </cell>
          <cell r="C28" t="str">
            <v>Insuficiente</v>
          </cell>
        </row>
        <row r="29">
          <cell r="B29">
            <v>4</v>
          </cell>
          <cell r="C29" t="str">
            <v>Insuficiente</v>
          </cell>
        </row>
        <row r="30">
          <cell r="B30">
            <v>5</v>
          </cell>
          <cell r="C30" t="str">
            <v>Suficiente</v>
          </cell>
        </row>
        <row r="31">
          <cell r="B31">
            <v>6</v>
          </cell>
          <cell r="C31" t="str">
            <v xml:space="preserve">Bueno </v>
          </cell>
        </row>
        <row r="32">
          <cell r="B32">
            <v>7</v>
          </cell>
          <cell r="C32" t="str">
            <v>Notable</v>
          </cell>
        </row>
        <row r="33">
          <cell r="B33">
            <v>8</v>
          </cell>
          <cell r="C33" t="str">
            <v>Notable</v>
          </cell>
        </row>
        <row r="34">
          <cell r="B34">
            <v>9</v>
          </cell>
          <cell r="C34" t="str">
            <v>Sobresaliente</v>
          </cell>
        </row>
        <row r="35">
          <cell r="B35">
            <v>10</v>
          </cell>
          <cell r="C35" t="str">
            <v>Sobresaliente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K13" sqref="K13"/>
    </sheetView>
  </sheetViews>
  <sheetFormatPr baseColWidth="10" defaultRowHeight="14.5" x14ac:dyDescent="0.35"/>
  <cols>
    <col min="1" max="1" width="5.7265625" bestFit="1" customWidth="1"/>
    <col min="4" max="4" width="15.1796875" customWidth="1"/>
  </cols>
  <sheetData>
    <row r="1" spans="1:8" x14ac:dyDescent="0.35">
      <c r="A1" t="s">
        <v>0</v>
      </c>
      <c r="B1" s="4" t="s">
        <v>1</v>
      </c>
      <c r="C1" s="4"/>
      <c r="D1" s="4"/>
      <c r="E1" s="4" t="s">
        <v>2</v>
      </c>
      <c r="F1" s="4"/>
      <c r="G1" s="4"/>
      <c r="H1" s="4"/>
    </row>
    <row r="2" spans="1:8" x14ac:dyDescent="0.35">
      <c r="A2">
        <v>345</v>
      </c>
      <c r="B2" s="5">
        <f>COUNT(A2:A8)</f>
        <v>7</v>
      </c>
      <c r="C2" s="5"/>
      <c r="D2" s="5"/>
      <c r="E2" s="4">
        <v>345</v>
      </c>
      <c r="F2" s="4"/>
      <c r="G2" s="4"/>
      <c r="H2" s="4"/>
    </row>
    <row r="3" spans="1:8" x14ac:dyDescent="0.35">
      <c r="A3">
        <v>125</v>
      </c>
      <c r="B3" s="5"/>
      <c r="C3" s="5"/>
      <c r="D3" s="5"/>
      <c r="E3" s="5">
        <f>COUNTIF(A2:A8,345)</f>
        <v>2</v>
      </c>
      <c r="F3" s="5"/>
      <c r="G3" s="5"/>
      <c r="H3" s="5"/>
    </row>
    <row r="4" spans="1:8" x14ac:dyDescent="0.35">
      <c r="A4">
        <v>345</v>
      </c>
      <c r="B4" s="5"/>
      <c r="C4" s="5"/>
      <c r="D4" s="5"/>
      <c r="E4" s="5"/>
      <c r="F4" s="5"/>
      <c r="G4" s="5"/>
      <c r="H4" s="5"/>
    </row>
    <row r="5" spans="1:8" x14ac:dyDescent="0.35">
      <c r="A5">
        <v>123</v>
      </c>
      <c r="B5" s="5"/>
      <c r="C5" s="5"/>
      <c r="D5" s="5"/>
      <c r="E5" s="5"/>
      <c r="F5" s="5"/>
      <c r="G5" s="5"/>
      <c r="H5" s="5"/>
    </row>
    <row r="6" spans="1:8" x14ac:dyDescent="0.35">
      <c r="A6">
        <v>887</v>
      </c>
      <c r="B6" s="5"/>
      <c r="C6" s="5"/>
      <c r="D6" s="5"/>
      <c r="E6" s="5"/>
      <c r="F6" s="5"/>
      <c r="G6" s="5"/>
      <c r="H6" s="5"/>
    </row>
    <row r="7" spans="1:8" x14ac:dyDescent="0.35">
      <c r="A7">
        <v>926</v>
      </c>
      <c r="B7" s="5"/>
      <c r="C7" s="5"/>
      <c r="D7" s="5"/>
      <c r="E7" s="5"/>
      <c r="F7" s="5"/>
      <c r="G7" s="5"/>
      <c r="H7" s="5"/>
    </row>
    <row r="8" spans="1:8" x14ac:dyDescent="0.35">
      <c r="A8">
        <v>578</v>
      </c>
      <c r="B8" s="5"/>
      <c r="C8" s="5"/>
      <c r="D8" s="5"/>
      <c r="E8" s="5"/>
      <c r="F8" s="5"/>
      <c r="G8" s="5"/>
      <c r="H8" s="5"/>
    </row>
    <row r="9" spans="1:8" x14ac:dyDescent="0.35">
      <c r="B9" s="5"/>
      <c r="C9" s="5"/>
      <c r="D9" s="5"/>
      <c r="E9" s="5"/>
      <c r="F9" s="5"/>
      <c r="G9" s="5"/>
      <c r="H9" s="5"/>
    </row>
    <row r="10" spans="1:8" x14ac:dyDescent="0.35">
      <c r="B10" s="5"/>
      <c r="C10" s="5"/>
      <c r="D10" s="5"/>
      <c r="E10" s="5"/>
      <c r="F10" s="5"/>
      <c r="G10" s="5"/>
      <c r="H10" s="5"/>
    </row>
    <row r="11" spans="1:8" x14ac:dyDescent="0.35">
      <c r="B11" s="5"/>
      <c r="C11" s="5"/>
      <c r="D11" s="5"/>
      <c r="E11" s="5"/>
      <c r="F11" s="5"/>
      <c r="G11" s="5"/>
      <c r="H11" s="5"/>
    </row>
    <row r="12" spans="1:8" x14ac:dyDescent="0.35">
      <c r="B12" s="5"/>
      <c r="C12" s="5"/>
      <c r="D12" s="5"/>
      <c r="E12" s="5"/>
      <c r="F12" s="5"/>
      <c r="G12" s="5"/>
      <c r="H12" s="5"/>
    </row>
    <row r="13" spans="1:8" x14ac:dyDescent="0.35">
      <c r="B13" s="5"/>
      <c r="C13" s="5"/>
      <c r="D13" s="5"/>
      <c r="E13" s="5"/>
      <c r="F13" s="5"/>
      <c r="G13" s="5"/>
      <c r="H13" s="5"/>
    </row>
  </sheetData>
  <mergeCells count="5">
    <mergeCell ref="B1:D1"/>
    <mergeCell ref="B2:D13"/>
    <mergeCell ref="E1:H1"/>
    <mergeCell ref="E3:H13"/>
    <mergeCell ref="E2:H2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54"/>
  <sheetViews>
    <sheetView tabSelected="1" topLeftCell="B1" zoomScaleNormal="100" workbookViewId="0">
      <selection activeCell="G29" sqref="G29"/>
    </sheetView>
  </sheetViews>
  <sheetFormatPr baseColWidth="10" defaultRowHeight="14.5" x14ac:dyDescent="0.35"/>
  <cols>
    <col min="2" max="2" width="15" bestFit="1" customWidth="1"/>
    <col min="3" max="3" width="11.81640625" customWidth="1"/>
    <col min="4" max="4" width="13.54296875" bestFit="1" customWidth="1"/>
    <col min="5" max="5" width="14.453125" bestFit="1" customWidth="1"/>
    <col min="7" max="7" width="14.453125" bestFit="1" customWidth="1"/>
    <col min="9" max="9" width="14.453125" bestFit="1" customWidth="1"/>
    <col min="11" max="11" width="14.453125" bestFit="1" customWidth="1"/>
    <col min="13" max="13" width="14.453125" bestFit="1" customWidth="1"/>
    <col min="15" max="15" width="11.54296875" bestFit="1" customWidth="1"/>
    <col min="16" max="16" width="5.7265625" bestFit="1" customWidth="1"/>
  </cols>
  <sheetData>
    <row r="1" spans="2:16" ht="15" thickBot="1" x14ac:dyDescent="0.4"/>
    <row r="2" spans="2:16" ht="15.5" thickTop="1" thickBot="1" x14ac:dyDescent="0.4">
      <c r="B2" s="42"/>
      <c r="C2" s="42"/>
      <c r="D2" s="43">
        <v>223</v>
      </c>
      <c r="E2" s="43"/>
      <c r="F2" s="43">
        <v>222</v>
      </c>
      <c r="G2" s="43"/>
      <c r="H2" s="43">
        <v>221</v>
      </c>
      <c r="I2" s="43"/>
      <c r="J2" s="43">
        <v>225</v>
      </c>
      <c r="K2" s="43"/>
      <c r="L2" s="43">
        <v>229</v>
      </c>
      <c r="M2" s="43"/>
      <c r="N2" s="43" t="s">
        <v>3</v>
      </c>
      <c r="O2" s="43"/>
    </row>
    <row r="3" spans="2:16" ht="15.5" thickTop="1" thickBot="1" x14ac:dyDescent="0.4">
      <c r="B3" s="42"/>
      <c r="C3" s="42"/>
      <c r="D3" s="44" t="s">
        <v>4</v>
      </c>
      <c r="E3" s="44"/>
      <c r="F3" s="44" t="s">
        <v>5</v>
      </c>
      <c r="G3" s="44"/>
      <c r="H3" s="44" t="s">
        <v>6</v>
      </c>
      <c r="I3" s="44"/>
      <c r="J3" s="44" t="s">
        <v>7</v>
      </c>
      <c r="K3" s="44"/>
      <c r="L3" s="44" t="s">
        <v>8</v>
      </c>
      <c r="M3" s="44"/>
      <c r="N3" s="43" t="s">
        <v>9</v>
      </c>
      <c r="O3" s="43"/>
    </row>
    <row r="4" spans="2:16" ht="15.5" thickTop="1" thickBot="1" x14ac:dyDescent="0.4">
      <c r="B4" s="42"/>
      <c r="C4" s="42"/>
      <c r="D4" s="45" t="s">
        <v>10</v>
      </c>
      <c r="E4" s="45" t="s">
        <v>11</v>
      </c>
      <c r="F4" s="45" t="s">
        <v>10</v>
      </c>
      <c r="G4" s="45" t="s">
        <v>11</v>
      </c>
      <c r="H4" s="45" t="s">
        <v>10</v>
      </c>
      <c r="I4" s="45" t="s">
        <v>11</v>
      </c>
      <c r="J4" s="45" t="s">
        <v>10</v>
      </c>
      <c r="K4" s="45" t="s">
        <v>11</v>
      </c>
      <c r="L4" s="45" t="s">
        <v>10</v>
      </c>
      <c r="M4" s="45" t="s">
        <v>11</v>
      </c>
      <c r="N4" s="45" t="s">
        <v>10</v>
      </c>
      <c r="O4" s="45" t="s">
        <v>11</v>
      </c>
    </row>
    <row r="5" spans="2:16" ht="44" thickTop="1" x14ac:dyDescent="0.35">
      <c r="B5" s="46" t="s">
        <v>12</v>
      </c>
      <c r="C5" s="47" t="s">
        <v>13</v>
      </c>
      <c r="D5" s="48">
        <v>2</v>
      </c>
      <c r="E5" s="48" t="str">
        <f>VLOOKUP(D5,'[1]Ejercicio 4-notas'!$B$26:$C$35,2,FALSE)</f>
        <v>Muy deficiente</v>
      </c>
      <c r="F5" s="48">
        <v>6</v>
      </c>
      <c r="G5" s="48" t="str">
        <f>VLOOKUP(F5,'[1]Ejercicio 4-notas'!$B$26:$C$35,2,FALSE)</f>
        <v xml:space="preserve">Bueno </v>
      </c>
      <c r="H5" s="48">
        <v>5</v>
      </c>
      <c r="I5" s="48" t="str">
        <f>VLOOKUP(H5,'[1]Ejercicio 4-notas'!$B$26:$C$35,2)</f>
        <v>Suficiente</v>
      </c>
      <c r="J5" s="48">
        <v>3</v>
      </c>
      <c r="K5" s="48" t="str">
        <f>VLOOKUP(J5,'[1]Ejercicio 4-notas'!$B$26:$C$35,2,FALSE)</f>
        <v>Insuficiente</v>
      </c>
      <c r="L5" s="48">
        <v>3</v>
      </c>
      <c r="M5" s="48" t="str">
        <f>VLOOKUP(L5,'[1]Ejercicio 4-notas'!$B$26:$C$35,2,FALSE)</f>
        <v>Insuficiente</v>
      </c>
      <c r="N5" s="48">
        <v>5</v>
      </c>
      <c r="O5" s="48" t="str">
        <f>VLOOKUP(N5,'[1]Ejercicio 4-notas'!$B$26:$C$35,2,FALSE)</f>
        <v>Suficiente</v>
      </c>
      <c r="P5" s="58">
        <f>AVERAGE(D5:N5)</f>
        <v>4</v>
      </c>
    </row>
    <row r="6" spans="2:16" ht="29" x14ac:dyDescent="0.35">
      <c r="B6" s="49" t="s">
        <v>14</v>
      </c>
      <c r="C6" s="50" t="s">
        <v>15</v>
      </c>
      <c r="D6" s="51">
        <v>8</v>
      </c>
      <c r="E6" s="51" t="str">
        <f>VLOOKUP(D6,'[1]Ejercicio 4-notas'!$B$26:$C$35,2,FALSE)</f>
        <v>Notable</v>
      </c>
      <c r="F6" s="51">
        <v>9</v>
      </c>
      <c r="G6" s="51" t="str">
        <f>VLOOKUP(F6,'[1]Ejercicio 4-notas'!$B$26:$C$35,2,FALSE)</f>
        <v>Sobresaliente</v>
      </c>
      <c r="H6" s="51">
        <v>5</v>
      </c>
      <c r="I6" s="51" t="str">
        <f>VLOOKUP(H6,'[1]Ejercicio 4-notas'!$B$26:$C$35,2)</f>
        <v>Suficiente</v>
      </c>
      <c r="J6" s="51">
        <v>4</v>
      </c>
      <c r="K6" s="51" t="str">
        <f>VLOOKUP(J6,'[1]Ejercicio 4-notas'!$B$26:$C$35,2,FALSE)</f>
        <v>Insuficiente</v>
      </c>
      <c r="L6" s="51">
        <v>7</v>
      </c>
      <c r="M6" s="51" t="str">
        <f>VLOOKUP(L6,'[1]Ejercicio 4-notas'!$B$26:$C$35,2,FALSE)</f>
        <v>Notable</v>
      </c>
      <c r="N6" s="51">
        <v>6</v>
      </c>
      <c r="O6" s="51" t="str">
        <f>VLOOKUP(N6,'[1]Ejercicio 4-notas'!$B$26:$C$35,2,FALSE)</f>
        <v xml:space="preserve">Bueno </v>
      </c>
      <c r="P6" s="59">
        <f t="shared" ref="P6:P13" si="0">AVERAGE(D6:N6)</f>
        <v>6.5</v>
      </c>
    </row>
    <row r="7" spans="2:16" ht="29" x14ac:dyDescent="0.35">
      <c r="B7" s="49" t="s">
        <v>16</v>
      </c>
      <c r="C7" s="50" t="s">
        <v>17</v>
      </c>
      <c r="D7" s="51">
        <v>3</v>
      </c>
      <c r="E7" s="51" t="str">
        <f>VLOOKUP(D7,'[1]Ejercicio 4-notas'!$B$26:$C$35,2,FALSE)</f>
        <v>Insuficiente</v>
      </c>
      <c r="F7" s="51">
        <v>9</v>
      </c>
      <c r="G7" s="51" t="str">
        <f>VLOOKUP(F7,'[1]Ejercicio 4-notas'!$B$26:$C$35,2,FALSE)</f>
        <v>Sobresaliente</v>
      </c>
      <c r="H7" s="51">
        <v>6</v>
      </c>
      <c r="I7" s="51" t="str">
        <f>VLOOKUP(H7,'[1]Ejercicio 4-notas'!$B$26:$C$35,2)</f>
        <v xml:space="preserve">Bueno </v>
      </c>
      <c r="J7" s="51">
        <v>8</v>
      </c>
      <c r="K7" s="51" t="str">
        <f>VLOOKUP(J7,'[1]Ejercicio 4-notas'!$B$26:$C$35,2,FALSE)</f>
        <v>Notable</v>
      </c>
      <c r="L7" s="51">
        <v>6</v>
      </c>
      <c r="M7" s="51" t="str">
        <f>VLOOKUP(L7,'[1]Ejercicio 4-notas'!$B$26:$C$35,2,FALSE)</f>
        <v xml:space="preserve">Bueno </v>
      </c>
      <c r="N7" s="51">
        <v>8</v>
      </c>
      <c r="O7" s="51" t="str">
        <f>VLOOKUP(N7,'[1]Ejercicio 4-notas'!$B$26:$C$35,2,FALSE)</f>
        <v>Notable</v>
      </c>
      <c r="P7" s="59">
        <f t="shared" si="0"/>
        <v>6.666666666666667</v>
      </c>
    </row>
    <row r="8" spans="2:16" ht="43.5" x14ac:dyDescent="0.35">
      <c r="B8" s="49" t="s">
        <v>18</v>
      </c>
      <c r="C8" s="52" t="s">
        <v>19</v>
      </c>
      <c r="D8" s="51">
        <v>6</v>
      </c>
      <c r="E8" s="51" t="str">
        <f>VLOOKUP(D8,'[1]Ejercicio 4-notas'!$B$26:$C$35,2,FALSE)</f>
        <v xml:space="preserve">Bueno </v>
      </c>
      <c r="F8" s="53">
        <v>10</v>
      </c>
      <c r="G8" s="51" t="str">
        <f>VLOOKUP(F8,'[1]Ejercicio 4-notas'!$B$26:$C$35,2,FALSE)</f>
        <v>Sobresaliente</v>
      </c>
      <c r="H8" s="53">
        <v>7</v>
      </c>
      <c r="I8" s="51" t="str">
        <f>VLOOKUP(H8,'[1]Ejercicio 4-notas'!$B$26:$C$35,2)</f>
        <v>Notable</v>
      </c>
      <c r="J8" s="53">
        <v>7</v>
      </c>
      <c r="K8" s="51" t="str">
        <f>VLOOKUP(J8,'[1]Ejercicio 4-notas'!$B$26:$C$35,2,FALSE)</f>
        <v>Notable</v>
      </c>
      <c r="L8" s="53">
        <v>4</v>
      </c>
      <c r="M8" s="51" t="str">
        <f>VLOOKUP(L8,'[1]Ejercicio 4-notas'!$B$26:$C$35,2,FALSE)</f>
        <v>Insuficiente</v>
      </c>
      <c r="N8" s="53">
        <v>4</v>
      </c>
      <c r="O8" s="51" t="str">
        <f>VLOOKUP(N8,'[1]Ejercicio 4-notas'!$B$26:$C$35,2,FALSE)</f>
        <v>Insuficiente</v>
      </c>
      <c r="P8" s="59">
        <f t="shared" si="0"/>
        <v>6.333333333333333</v>
      </c>
    </row>
    <row r="9" spans="2:16" ht="43.5" x14ac:dyDescent="0.35">
      <c r="B9" s="49" t="s">
        <v>20</v>
      </c>
      <c r="C9" s="52" t="s">
        <v>21</v>
      </c>
      <c r="D9" s="51">
        <v>7</v>
      </c>
      <c r="E9" s="51" t="str">
        <f>VLOOKUP(D9,'[1]Ejercicio 4-notas'!$B$26:$C$35,2,FALSE)</f>
        <v>Notable</v>
      </c>
      <c r="F9" s="53">
        <v>8</v>
      </c>
      <c r="G9" s="51" t="str">
        <f>VLOOKUP(F9,'[1]Ejercicio 4-notas'!$B$26:$C$35,2,FALSE)</f>
        <v>Notable</v>
      </c>
      <c r="H9" s="53">
        <v>8</v>
      </c>
      <c r="I9" s="51" t="str">
        <f>VLOOKUP(H9,'[1]Ejercicio 4-notas'!$B$26:$C$35,2)</f>
        <v>Notable</v>
      </c>
      <c r="J9" s="53">
        <v>6</v>
      </c>
      <c r="K9" s="51" t="str">
        <f>VLOOKUP(J9,'[1]Ejercicio 4-notas'!$B$26:$C$35,2,FALSE)</f>
        <v xml:space="preserve">Bueno </v>
      </c>
      <c r="L9" s="53">
        <v>2</v>
      </c>
      <c r="M9" s="51" t="str">
        <f>VLOOKUP(L9,'[1]Ejercicio 4-notas'!$B$26:$C$35,2,FALSE)</f>
        <v>Muy deficiente</v>
      </c>
      <c r="N9" s="53">
        <v>7</v>
      </c>
      <c r="O9" s="51" t="str">
        <f>VLOOKUP(N9,'[1]Ejercicio 4-notas'!$B$26:$C$35,2,FALSE)</f>
        <v>Notable</v>
      </c>
      <c r="P9" s="59">
        <f t="shared" si="0"/>
        <v>6.333333333333333</v>
      </c>
    </row>
    <row r="10" spans="2:16" ht="43.5" x14ac:dyDescent="0.35">
      <c r="B10" s="49" t="s">
        <v>22</v>
      </c>
      <c r="C10" s="52" t="s">
        <v>23</v>
      </c>
      <c r="D10" s="51">
        <v>8</v>
      </c>
      <c r="E10" s="51" t="str">
        <f>VLOOKUP(D10,'[1]Ejercicio 4-notas'!$B$26:$C$35,2,FALSE)</f>
        <v>Notable</v>
      </c>
      <c r="F10" s="53">
        <v>4</v>
      </c>
      <c r="G10" s="51" t="str">
        <f>VLOOKUP(F10,'[1]Ejercicio 4-notas'!$B$26:$C$35,2,FALSE)</f>
        <v>Insuficiente</v>
      </c>
      <c r="H10" s="53">
        <v>2</v>
      </c>
      <c r="I10" s="51" t="str">
        <f>VLOOKUP(H10,'[1]Ejercicio 4-notas'!$B$26:$C$35,2)</f>
        <v>Muy deficiente</v>
      </c>
      <c r="J10" s="53">
        <v>5</v>
      </c>
      <c r="K10" s="51" t="str">
        <f>VLOOKUP(J10,'[1]Ejercicio 4-notas'!$B$26:$C$35,2,FALSE)</f>
        <v>Suficiente</v>
      </c>
      <c r="L10" s="53">
        <v>5</v>
      </c>
      <c r="M10" s="51" t="str">
        <f>VLOOKUP(L10,'[1]Ejercicio 4-notas'!$B$26:$C$35,2,FALSE)</f>
        <v>Suficiente</v>
      </c>
      <c r="N10" s="53">
        <v>5</v>
      </c>
      <c r="O10" s="51" t="str">
        <f>VLOOKUP(N10,'[1]Ejercicio 4-notas'!$B$26:$C$35,2,FALSE)</f>
        <v>Suficiente</v>
      </c>
      <c r="P10" s="59">
        <f t="shared" si="0"/>
        <v>4.833333333333333</v>
      </c>
    </row>
    <row r="11" spans="2:16" ht="29" x14ac:dyDescent="0.35">
      <c r="B11" s="49" t="s">
        <v>24</v>
      </c>
      <c r="C11" s="52" t="s">
        <v>25</v>
      </c>
      <c r="D11" s="51">
        <v>9</v>
      </c>
      <c r="E11" s="51" t="str">
        <f>VLOOKUP(D11,'[1]Ejercicio 4-notas'!$B$26:$C$35,2,FALSE)</f>
        <v>Sobresaliente</v>
      </c>
      <c r="F11" s="53">
        <v>6</v>
      </c>
      <c r="G11" s="51" t="str">
        <f>VLOOKUP(F11,'[1]Ejercicio 4-notas'!$B$26:$C$35,2,FALSE)</f>
        <v xml:space="preserve">Bueno </v>
      </c>
      <c r="H11" s="53">
        <v>7</v>
      </c>
      <c r="I11" s="51" t="str">
        <f>VLOOKUP(H11,'[1]Ejercicio 4-notas'!$B$26:$C$35,2)</f>
        <v>Notable</v>
      </c>
      <c r="J11" s="53">
        <v>2</v>
      </c>
      <c r="K11" s="51" t="str">
        <f>VLOOKUP(J11,'[1]Ejercicio 4-notas'!$B$26:$C$35,2,FALSE)</f>
        <v>Muy deficiente</v>
      </c>
      <c r="L11" s="53">
        <v>7</v>
      </c>
      <c r="M11" s="51" t="str">
        <f>VLOOKUP(L11,'[1]Ejercicio 4-notas'!$B$26:$C$35,2,FALSE)</f>
        <v>Notable</v>
      </c>
      <c r="N11" s="53">
        <v>7</v>
      </c>
      <c r="O11" s="51" t="str">
        <f>VLOOKUP(N11,'[1]Ejercicio 4-notas'!$B$26:$C$35,2,FALSE)</f>
        <v>Notable</v>
      </c>
      <c r="P11" s="59">
        <f t="shared" si="0"/>
        <v>6.333333333333333</v>
      </c>
    </row>
    <row r="12" spans="2:16" ht="29" x14ac:dyDescent="0.35">
      <c r="B12" s="49" t="s">
        <v>26</v>
      </c>
      <c r="C12" s="52" t="s">
        <v>27</v>
      </c>
      <c r="D12" s="51">
        <v>4</v>
      </c>
      <c r="E12" s="51" t="str">
        <f>VLOOKUP(D12,'[1]Ejercicio 4-notas'!$B$26:$C$35,2,FALSE)</f>
        <v>Insuficiente</v>
      </c>
      <c r="F12" s="53">
        <v>5</v>
      </c>
      <c r="G12" s="51" t="str">
        <f>VLOOKUP(F12,'[1]Ejercicio 4-notas'!$B$26:$C$35,2,FALSE)</f>
        <v>Suficiente</v>
      </c>
      <c r="H12" s="53">
        <v>3</v>
      </c>
      <c r="I12" s="51" t="str">
        <f>VLOOKUP(H12,'[1]Ejercicio 4-notas'!$B$26:$C$35,2)</f>
        <v>Insuficiente</v>
      </c>
      <c r="J12" s="53">
        <v>7</v>
      </c>
      <c r="K12" s="51" t="str">
        <f>VLOOKUP(J12,'[1]Ejercicio 4-notas'!$B$26:$C$35,2,FALSE)</f>
        <v>Notable</v>
      </c>
      <c r="L12" s="53">
        <v>9</v>
      </c>
      <c r="M12" s="51" t="str">
        <f>VLOOKUP(L12,'[1]Ejercicio 4-notas'!$B$26:$C$35,2,FALSE)</f>
        <v>Sobresaliente</v>
      </c>
      <c r="N12" s="53">
        <v>6</v>
      </c>
      <c r="O12" s="51" t="str">
        <f>VLOOKUP(N12,'[1]Ejercicio 4-notas'!$B$26:$C$35,2,FALSE)</f>
        <v xml:space="preserve">Bueno </v>
      </c>
      <c r="P12" s="59">
        <f t="shared" si="0"/>
        <v>5.666666666666667</v>
      </c>
    </row>
    <row r="13" spans="2:16" ht="44" thickBot="1" x14ac:dyDescent="0.4">
      <c r="B13" s="54" t="s">
        <v>28</v>
      </c>
      <c r="C13" s="55" t="s">
        <v>29</v>
      </c>
      <c r="D13" s="56">
        <v>6</v>
      </c>
      <c r="E13" s="56" t="str">
        <f>VLOOKUP(D13,'[1]Ejercicio 4-notas'!$B$26:$C$35,2,FALSE)</f>
        <v xml:space="preserve">Bueno </v>
      </c>
      <c r="F13" s="57">
        <v>1</v>
      </c>
      <c r="G13" s="56" t="str">
        <f>VLOOKUP(F13,'[1]Ejercicio 4-notas'!$B$26:$C$35,2,FALSE)</f>
        <v>Muy deficiente</v>
      </c>
      <c r="H13" s="56">
        <v>5</v>
      </c>
      <c r="I13" s="56" t="str">
        <f>VLOOKUP(H13,'[1]Ejercicio 4-notas'!$B$26:$C$35,2)</f>
        <v>Suficiente</v>
      </c>
      <c r="J13" s="56">
        <v>4</v>
      </c>
      <c r="K13" s="56" t="str">
        <f>VLOOKUP(J13,'[1]Ejercicio 4-notas'!$B$26:$C$35,2,FALSE)</f>
        <v>Insuficiente</v>
      </c>
      <c r="L13" s="56">
        <v>4</v>
      </c>
      <c r="M13" s="56" t="str">
        <f>VLOOKUP(L13,'[1]Ejercicio 4-notas'!$B$26:$C$35,2,FALSE)</f>
        <v>Insuficiente</v>
      </c>
      <c r="N13" s="56">
        <v>5</v>
      </c>
      <c r="O13" s="56" t="str">
        <f>VLOOKUP(N13,'[1]Ejercicio 4-notas'!B25:C34,2,FALSE)</f>
        <v>Suficiente</v>
      </c>
      <c r="P13" s="60">
        <f t="shared" si="0"/>
        <v>4.166666666666667</v>
      </c>
    </row>
    <row r="14" spans="2:16" ht="15" thickTop="1" x14ac:dyDescent="0.35">
      <c r="D14" s="37">
        <f>(D5+D6+D7+D8+D9+D10+D11+D12+D13)/9</f>
        <v>5.8888888888888893</v>
      </c>
      <c r="E14" s="3"/>
      <c r="F14" s="39">
        <f>(F5+F6+F7+F8+F9+F10+F11+F12+F13)/9</f>
        <v>6.4444444444444446</v>
      </c>
      <c r="G14" s="3"/>
      <c r="H14" s="37">
        <f>(H5+H6+H7+H8+H9+H10+H11+H12+H13)/9</f>
        <v>5.333333333333333</v>
      </c>
      <c r="I14" s="3"/>
      <c r="J14" s="37">
        <f>(J5+J6+J7+J8+J9+J10+J11+J12+J13)/9</f>
        <v>5.1111111111111107</v>
      </c>
      <c r="K14" s="41"/>
      <c r="L14" s="37">
        <f>(L5+L6+L7+L8+L9+L10+L11+L12+L13)/9</f>
        <v>5.2222222222222223</v>
      </c>
      <c r="M14" s="41"/>
      <c r="N14" s="37">
        <f>(N5+N6+N7+N8+N9+N10+N11+N12+N13)/9</f>
        <v>5.8888888888888893</v>
      </c>
      <c r="O14" s="2"/>
    </row>
    <row r="15" spans="2:16" ht="15" thickBot="1" x14ac:dyDescent="0.4">
      <c r="D15" s="38"/>
      <c r="E15" s="3"/>
      <c r="F15" s="40"/>
      <c r="G15" s="3"/>
      <c r="H15" s="38"/>
      <c r="I15" s="3"/>
      <c r="J15" s="38"/>
      <c r="K15" s="41"/>
      <c r="L15" s="38"/>
      <c r="M15" s="41"/>
      <c r="N15" s="38"/>
      <c r="O15" s="2"/>
    </row>
    <row r="16" spans="2:16" ht="15.5" thickTop="1" thickBot="1" x14ac:dyDescent="0.4"/>
    <row r="17" spans="2:4" ht="15.5" thickTop="1" thickBot="1" x14ac:dyDescent="0.4">
      <c r="B17" s="61" t="s">
        <v>30</v>
      </c>
      <c r="C17" s="62"/>
      <c r="D17" s="63">
        <f>COUNTA(C5:C13)</f>
        <v>9</v>
      </c>
    </row>
    <row r="18" spans="2:4" ht="15.5" thickTop="1" thickBot="1" x14ac:dyDescent="0.4">
      <c r="B18" s="64" t="s">
        <v>31</v>
      </c>
      <c r="C18" s="65"/>
      <c r="D18" s="63">
        <f>MAX(D5:D13,F5:F13,H5:H13,J5:J13,L5:L13,L5:L13)</f>
        <v>10</v>
      </c>
    </row>
    <row r="19" spans="2:4" ht="15.5" thickTop="1" thickBot="1" x14ac:dyDescent="0.4">
      <c r="B19" s="61" t="s">
        <v>32</v>
      </c>
      <c r="C19" s="62"/>
      <c r="D19" s="63">
        <f>MIN(D5:D13,F5:F13,H5:H13,J5:J13,L5:L13,N5:N13)</f>
        <v>1</v>
      </c>
    </row>
    <row r="20" spans="2:4" ht="15.5" thickTop="1" thickBot="1" x14ac:dyDescent="0.4">
      <c r="B20" s="61" t="s">
        <v>33</v>
      </c>
      <c r="C20" s="62"/>
      <c r="D20" s="66">
        <f>AVERAGE(D5:N13)</f>
        <v>5.6481481481481479</v>
      </c>
    </row>
    <row r="21" spans="2:4" ht="15.5" thickTop="1" thickBot="1" x14ac:dyDescent="0.4">
      <c r="B21" s="61" t="s">
        <v>34</v>
      </c>
      <c r="C21" s="62"/>
      <c r="D21" s="63">
        <f>MODE(D5:N13)</f>
        <v>6</v>
      </c>
    </row>
    <row r="22" spans="2:4" ht="15.5" thickTop="1" thickBot="1" x14ac:dyDescent="0.4">
      <c r="B22" s="61" t="s">
        <v>35</v>
      </c>
      <c r="C22" s="62"/>
      <c r="D22" s="63">
        <f>MEDIAN(D5:N13)</f>
        <v>6</v>
      </c>
    </row>
    <row r="23" spans="2:4" ht="15" thickTop="1" x14ac:dyDescent="0.35">
      <c r="B23" s="42"/>
      <c r="C23" s="42"/>
      <c r="D23" s="42"/>
    </row>
    <row r="24" spans="2:4" ht="15" thickBot="1" x14ac:dyDescent="0.4">
      <c r="B24" s="42"/>
      <c r="C24" s="28" t="s">
        <v>38</v>
      </c>
      <c r="D24" s="28" t="s">
        <v>57</v>
      </c>
    </row>
    <row r="25" spans="2:4" ht="15.5" thickTop="1" thickBot="1" x14ac:dyDescent="0.4">
      <c r="B25" s="42" t="s">
        <v>36</v>
      </c>
      <c r="C25" s="63">
        <f>COUNTIF(D5:N13,"&gt;=5 ")</f>
        <v>38</v>
      </c>
      <c r="D25" s="67">
        <f>C25/(C25+C26)</f>
        <v>0.70370370370370372</v>
      </c>
    </row>
    <row r="26" spans="2:4" ht="15.5" thickTop="1" thickBot="1" x14ac:dyDescent="0.4">
      <c r="B26" s="42" t="s">
        <v>37</v>
      </c>
      <c r="C26" s="63">
        <f>COUNTIF(D5:N13,"&lt;"&amp;5)</f>
        <v>16</v>
      </c>
      <c r="D26" s="67">
        <f>C26/(C26+C25)</f>
        <v>0.29629629629629628</v>
      </c>
    </row>
    <row r="27" spans="2:4" ht="15" thickTop="1" x14ac:dyDescent="0.35"/>
    <row r="54" spans="15:15" x14ac:dyDescent="0.35">
      <c r="O54">
        <v>5</v>
      </c>
    </row>
  </sheetData>
  <mergeCells count="26">
    <mergeCell ref="N3:O3"/>
    <mergeCell ref="D2:E2"/>
    <mergeCell ref="F2:G2"/>
    <mergeCell ref="H2:I2"/>
    <mergeCell ref="J2:K2"/>
    <mergeCell ref="L2:M2"/>
    <mergeCell ref="N2:O2"/>
    <mergeCell ref="D3:E3"/>
    <mergeCell ref="F3:G3"/>
    <mergeCell ref="H3:I3"/>
    <mergeCell ref="J3:K3"/>
    <mergeCell ref="L3:M3"/>
    <mergeCell ref="M14:M15"/>
    <mergeCell ref="N14:N15"/>
    <mergeCell ref="B17:C17"/>
    <mergeCell ref="B22:C22"/>
    <mergeCell ref="B18:C18"/>
    <mergeCell ref="B19:C19"/>
    <mergeCell ref="B20:C20"/>
    <mergeCell ref="B21:C21"/>
    <mergeCell ref="D14:D15"/>
    <mergeCell ref="F14:F15"/>
    <mergeCell ref="H14:H15"/>
    <mergeCell ref="J14:J15"/>
    <mergeCell ref="K14:K15"/>
    <mergeCell ref="L14:L15"/>
  </mergeCells>
  <conditionalFormatting sqref="D5:P13">
    <cfRule type="cellIs" dxfId="2" priority="3" operator="lessThan">
      <formula>5</formula>
    </cfRule>
  </conditionalFormatting>
  <conditionalFormatting sqref="D5:P15">
    <cfRule type="cellIs" dxfId="1" priority="1" operator="equal">
      <formula>"Insuficiente"</formula>
    </cfRule>
    <cfRule type="cellIs" dxfId="0" priority="2" operator="equal">
      <formula>"Muy deficiente"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20"/>
  <sheetViews>
    <sheetView workbookViewId="0">
      <selection activeCell="C24" sqref="C24"/>
    </sheetView>
  </sheetViews>
  <sheetFormatPr baseColWidth="10" defaultRowHeight="14.5" x14ac:dyDescent="0.35"/>
  <cols>
    <col min="2" max="2" width="18.7265625" customWidth="1"/>
    <col min="3" max="3" width="17.7265625" bestFit="1" customWidth="1"/>
    <col min="4" max="4" width="10.26953125" bestFit="1" customWidth="1"/>
    <col min="5" max="5" width="17.453125" customWidth="1"/>
  </cols>
  <sheetData>
    <row r="1" spans="2:6" ht="36.5" customHeight="1" x14ac:dyDescent="0.45">
      <c r="B1" s="36" t="s">
        <v>56</v>
      </c>
      <c r="C1" s="36"/>
      <c r="D1" s="36"/>
      <c r="E1" s="36"/>
    </row>
    <row r="2" spans="2:6" ht="15" thickBot="1" x14ac:dyDescent="0.4"/>
    <row r="3" spans="2:6" ht="15.5" thickTop="1" thickBot="1" x14ac:dyDescent="0.4">
      <c r="B3" s="15"/>
      <c r="C3" s="24" t="s">
        <v>46</v>
      </c>
      <c r="D3" s="34" t="s">
        <v>47</v>
      </c>
      <c r="E3" s="24" t="s">
        <v>48</v>
      </c>
      <c r="F3" s="35" t="s">
        <v>45</v>
      </c>
    </row>
    <row r="4" spans="2:6" ht="15.5" thickTop="1" thickBot="1" x14ac:dyDescent="0.4">
      <c r="B4" s="24" t="s">
        <v>39</v>
      </c>
      <c r="C4" s="21">
        <v>20714</v>
      </c>
      <c r="D4" s="19">
        <v>13273</v>
      </c>
      <c r="E4" s="19">
        <v>16031</v>
      </c>
      <c r="F4" s="20">
        <f>AVERAGE(C4:E4)</f>
        <v>16672.666666666668</v>
      </c>
    </row>
    <row r="5" spans="2:6" ht="15.5" thickTop="1" thickBot="1" x14ac:dyDescent="0.4">
      <c r="B5" s="24" t="s">
        <v>40</v>
      </c>
      <c r="C5" s="22">
        <v>20926</v>
      </c>
      <c r="D5" s="6">
        <v>13340</v>
      </c>
      <c r="E5" s="6">
        <v>16245</v>
      </c>
      <c r="F5" s="17">
        <f t="shared" ref="F5:F9" si="0">AVERAGE(C5:E5)</f>
        <v>16837</v>
      </c>
    </row>
    <row r="6" spans="2:6" ht="15.5" thickTop="1" thickBot="1" x14ac:dyDescent="0.4">
      <c r="B6" s="24" t="s">
        <v>41</v>
      </c>
      <c r="C6" s="22">
        <v>20961</v>
      </c>
      <c r="D6" s="6">
        <v>13415</v>
      </c>
      <c r="E6" s="6">
        <v>16245</v>
      </c>
      <c r="F6" s="17">
        <f t="shared" si="0"/>
        <v>16873.666666666668</v>
      </c>
    </row>
    <row r="7" spans="2:6" ht="15.5" thickTop="1" thickBot="1" x14ac:dyDescent="0.4">
      <c r="B7" s="24" t="s">
        <v>42</v>
      </c>
      <c r="C7" s="22">
        <v>21096</v>
      </c>
      <c r="D7" s="6">
        <v>13701</v>
      </c>
      <c r="E7" s="6">
        <v>16356</v>
      </c>
      <c r="F7" s="17">
        <f t="shared" si="0"/>
        <v>17051</v>
      </c>
    </row>
    <row r="8" spans="2:6" ht="15.5" thickTop="1" thickBot="1" x14ac:dyDescent="0.4">
      <c r="B8" s="24" t="s">
        <v>43</v>
      </c>
      <c r="C8" s="22">
        <v>21132</v>
      </c>
      <c r="D8" s="6">
        <v>13768</v>
      </c>
      <c r="E8" s="6">
        <v>16397</v>
      </c>
      <c r="F8" s="17">
        <f t="shared" si="0"/>
        <v>17099</v>
      </c>
    </row>
    <row r="9" spans="2:6" ht="15.5" thickTop="1" thickBot="1" x14ac:dyDescent="0.4">
      <c r="B9" s="24" t="s">
        <v>44</v>
      </c>
      <c r="C9" s="23">
        <v>21491</v>
      </c>
      <c r="D9" s="12">
        <v>13864</v>
      </c>
      <c r="E9" s="12">
        <v>16428</v>
      </c>
      <c r="F9" s="18">
        <f t="shared" si="0"/>
        <v>17261</v>
      </c>
    </row>
    <row r="10" spans="2:6" ht="15.5" thickTop="1" thickBot="1" x14ac:dyDescent="0.4">
      <c r="B10" s="33" t="s">
        <v>45</v>
      </c>
      <c r="C10" s="32">
        <f>AVERAGE(C4:C9)</f>
        <v>21053.333333333332</v>
      </c>
      <c r="D10" s="13">
        <f t="shared" ref="D10:E10" si="1">AVERAGE(D4:D9)</f>
        <v>13560.166666666666</v>
      </c>
      <c r="E10" s="14">
        <f t="shared" si="1"/>
        <v>16283.666666666666</v>
      </c>
      <c r="F10" s="16"/>
    </row>
    <row r="11" spans="2:6" ht="15.5" thickTop="1" thickBot="1" x14ac:dyDescent="0.4">
      <c r="B11" s="1"/>
      <c r="C11" s="1"/>
      <c r="D11" s="1"/>
      <c r="E11" s="1"/>
      <c r="F11" s="1"/>
    </row>
    <row r="12" spans="2:6" ht="15.5" thickTop="1" thickBot="1" x14ac:dyDescent="0.4">
      <c r="B12" s="25" t="s">
        <v>49</v>
      </c>
      <c r="C12" s="8">
        <v>21000</v>
      </c>
      <c r="D12" s="8">
        <v>13500</v>
      </c>
      <c r="E12" s="9">
        <v>16150</v>
      </c>
      <c r="F12" s="1"/>
    </row>
    <row r="13" spans="2:6" ht="15" thickBot="1" x14ac:dyDescent="0.4">
      <c r="B13" s="26"/>
      <c r="C13" s="10">
        <f>COUNTIF(C4:C9,"&gt;"&amp;C12)</f>
        <v>3</v>
      </c>
      <c r="D13" s="10">
        <f t="shared" ref="D13:E13" si="2">COUNTIF(D4:D9,"&gt;"&amp;D12)</f>
        <v>3</v>
      </c>
      <c r="E13" s="11">
        <f t="shared" si="2"/>
        <v>5</v>
      </c>
      <c r="F13" s="1"/>
    </row>
    <row r="14" spans="2:6" ht="15" thickTop="1" x14ac:dyDescent="0.35">
      <c r="B14" s="1"/>
      <c r="C14" s="1"/>
      <c r="D14" s="1"/>
      <c r="E14" s="1"/>
      <c r="F14" s="1"/>
    </row>
    <row r="15" spans="2:6" x14ac:dyDescent="0.35">
      <c r="B15" s="27" t="s">
        <v>50</v>
      </c>
      <c r="C15" s="27"/>
      <c r="D15" s="27"/>
      <c r="E15" s="27"/>
      <c r="F15" s="27"/>
    </row>
    <row r="16" spans="2:6" x14ac:dyDescent="0.35">
      <c r="B16" s="28" t="s">
        <v>51</v>
      </c>
      <c r="C16" s="7">
        <f>MODE(C4:E9)</f>
        <v>16245</v>
      </c>
      <c r="D16" s="1"/>
      <c r="E16" s="28" t="s">
        <v>52</v>
      </c>
      <c r="F16" s="7">
        <f>MAX(C4:E9)</f>
        <v>21491</v>
      </c>
    </row>
    <row r="17" spans="2:6" x14ac:dyDescent="0.35">
      <c r="B17" s="28" t="s">
        <v>35</v>
      </c>
      <c r="C17" s="7">
        <f>MEDIAN(C4:E9)</f>
        <v>16300.5</v>
      </c>
      <c r="D17" s="1"/>
      <c r="E17" s="28" t="s">
        <v>53</v>
      </c>
      <c r="F17" s="7">
        <f>MIN(C4:E9)</f>
        <v>13273</v>
      </c>
    </row>
    <row r="18" spans="2:6" x14ac:dyDescent="0.35">
      <c r="B18" s="1"/>
      <c r="C18" s="1"/>
      <c r="D18" s="1"/>
      <c r="E18" s="1"/>
      <c r="F18" s="1"/>
    </row>
    <row r="19" spans="2:6" x14ac:dyDescent="0.35">
      <c r="B19" s="29" t="s">
        <v>54</v>
      </c>
      <c r="C19" s="29"/>
      <c r="D19" s="29"/>
      <c r="E19" s="29"/>
      <c r="F19" s="28">
        <f>COUNTA(C3:E3)</f>
        <v>3</v>
      </c>
    </row>
    <row r="20" spans="2:6" x14ac:dyDescent="0.35">
      <c r="B20" s="30" t="s">
        <v>55</v>
      </c>
      <c r="C20" s="30"/>
      <c r="D20" s="30"/>
      <c r="E20" s="30"/>
      <c r="F20" s="31">
        <f>AVERAGE(C10:E10,F4:F9)</f>
        <v>16965.722222222223</v>
      </c>
    </row>
  </sheetData>
  <mergeCells count="5">
    <mergeCell ref="B12:B13"/>
    <mergeCell ref="B15:F15"/>
    <mergeCell ref="B19:E19"/>
    <mergeCell ref="B20:E20"/>
    <mergeCell ref="B1:E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Ejercicio 1</vt:lpstr>
      <vt:lpstr>Ejercicio 2</vt:lpstr>
      <vt:lpstr>Ejercicio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smr1</dc:creator>
  <cp:lastModifiedBy>david borja mateo</cp:lastModifiedBy>
  <dcterms:created xsi:type="dcterms:W3CDTF">2022-02-02T09:00:17Z</dcterms:created>
  <dcterms:modified xsi:type="dcterms:W3CDTF">2022-02-02T15:57:31Z</dcterms:modified>
</cp:coreProperties>
</file>