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licaciones ofimaticas\Excel\Practica 2\"/>
    </mc:Choice>
  </mc:AlternateContent>
  <bookViews>
    <workbookView xWindow="0" yWindow="0" windowWidth="20490" windowHeight="7650" firstSheet="6" activeTab="11"/>
  </bookViews>
  <sheets>
    <sheet name="Ejercicio 1 -A" sheetId="3" r:id="rId1"/>
    <sheet name="Ejercicio 1 -B" sheetId="4" r:id="rId2"/>
    <sheet name="Ejercicio 1 -C" sheetId="5" r:id="rId3"/>
    <sheet name="Ejercicio 1 -D" sheetId="6" r:id="rId4"/>
    <sheet name="Ejercicio 1 -E" sheetId="7" r:id="rId5"/>
    <sheet name="Ejercicio 1 -F" sheetId="8" r:id="rId6"/>
    <sheet name="Ejercicio 1 -G" sheetId="9" r:id="rId7"/>
    <sheet name="Ejercicio 1 -H" sheetId="10" r:id="rId8"/>
    <sheet name="Ejercicio 1 -I" sheetId="11" r:id="rId9"/>
    <sheet name="Ejercicio 1 -J" sheetId="12" r:id="rId10"/>
    <sheet name="Ejercicio 2" sheetId="14" r:id="rId11"/>
    <sheet name="Ejercicio 3" sheetId="15" r:id="rId12"/>
  </sheets>
  <definedNames>
    <definedName name="_xlnm._FilterDatabase" localSheetId="0" hidden="1">'Ejercicio 1 -A'!$A$1:$E$10</definedName>
    <definedName name="_xlnm._FilterDatabase" localSheetId="4" hidden="1">'Ejercicio 1 -E'!$A$1:$E$10</definedName>
    <definedName name="_xlnm._FilterDatabase" localSheetId="5" hidden="1">'Ejercicio 1 -F'!$A$1:$E$10</definedName>
    <definedName name="_xlnm._FilterDatabase" localSheetId="6" hidden="1">'Ejercicio 1 -G'!$A$1:$E$10</definedName>
    <definedName name="_xlnm._FilterDatabase" localSheetId="7" hidden="1">'Ejercicio 1 -H'!$A$1:$E$10</definedName>
    <definedName name="_xlnm._FilterDatabase" localSheetId="8" hidden="1">'Ejercicio 1 -I'!$A$1:$E$10</definedName>
    <definedName name="_xlnm._FilterDatabase" localSheetId="9" hidden="1">'Ejercicio 1 -J'!$A$1:$E$10</definedName>
  </definedNames>
  <calcPr calcId="162913"/>
</workbook>
</file>

<file path=xl/calcChain.xml><?xml version="1.0" encoding="utf-8"?>
<calcChain xmlns="http://schemas.openxmlformats.org/spreadsheetml/2006/main">
  <c r="H17" i="15" l="1"/>
  <c r="D18" i="15"/>
  <c r="D22" i="15"/>
  <c r="D21" i="15"/>
  <c r="D20" i="15"/>
  <c r="D17" i="15"/>
  <c r="D16" i="15"/>
  <c r="D14" i="15"/>
  <c r="D19" i="15" s="1"/>
  <c r="H11" i="15" l="1"/>
  <c r="H10" i="15"/>
  <c r="H9" i="15"/>
  <c r="B3" i="14"/>
  <c r="B4" i="14"/>
  <c r="C3" i="14"/>
</calcChain>
</file>

<file path=xl/sharedStrings.xml><?xml version="1.0" encoding="utf-8"?>
<sst xmlns="http://schemas.openxmlformats.org/spreadsheetml/2006/main" count="393" uniqueCount="80">
  <si>
    <t>NOMBRE</t>
  </si>
  <si>
    <t>F</t>
  </si>
  <si>
    <t>B1</t>
  </si>
  <si>
    <t>B2</t>
  </si>
  <si>
    <t>M</t>
  </si>
  <si>
    <t>B3</t>
  </si>
  <si>
    <t>SOCIO</t>
  </si>
  <si>
    <t>SEXO</t>
  </si>
  <si>
    <t>BARRIO</t>
  </si>
  <si>
    <t>PERALTA MARÍA</t>
  </si>
  <si>
    <t>MARÍA VÁZQUEZ</t>
  </si>
  <si>
    <t>PÉREZ MARTHA</t>
  </si>
  <si>
    <t>LÓPEZ EDIL</t>
  </si>
  <si>
    <t>SOSA ALFREDO</t>
  </si>
  <si>
    <t>BENITEZ ANA</t>
  </si>
  <si>
    <t>ACOSTA JUAN</t>
  </si>
  <si>
    <t>SOSA RAUL</t>
  </si>
  <si>
    <t>PEREIRA ELENA</t>
  </si>
  <si>
    <t>FECHA DE NACIMIENTO</t>
  </si>
  <si>
    <t>LISTADO DE CLIENTES</t>
  </si>
  <si>
    <t>CODIGO</t>
  </si>
  <si>
    <t>APELLIDOS</t>
  </si>
  <si>
    <t>SALDO</t>
  </si>
  <si>
    <t>A-000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</si>
  <si>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</si>
  <si>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</si>
  <si>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</si>
  <si>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</si>
  <si>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</si>
  <si>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</si>
  <si>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</si>
  <si>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</si>
  <si>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Antonio</t>
  </si>
  <si>
    <t>Andres</t>
  </si>
  <si>
    <t>Teresa</t>
  </si>
  <si>
    <t>Juana</t>
  </si>
  <si>
    <t>Manuel</t>
  </si>
  <si>
    <t>Marco</t>
  </si>
  <si>
    <t>Ana</t>
  </si>
  <si>
    <t>Alegria</t>
  </si>
  <si>
    <t>Maria del carmen</t>
  </si>
  <si>
    <t>Morales Capilla</t>
  </si>
  <si>
    <t>Sanchez Tejedor</t>
  </si>
  <si>
    <t>Meleno Serrano</t>
  </si>
  <si>
    <t>Lopez Ovagan</t>
  </si>
  <si>
    <t>Mancilla Perez</t>
  </si>
  <si>
    <t>Perez Torres</t>
  </si>
  <si>
    <t>Amador Toledo</t>
  </si>
  <si>
    <t>Ocon Ramos</t>
  </si>
  <si>
    <t>Pinos Montes</t>
  </si>
  <si>
    <t>INTRODUZCA CODIGO</t>
  </si>
  <si>
    <t>CLIENTE</t>
  </si>
  <si>
    <t>DESTINO</t>
  </si>
  <si>
    <t>DURACION</t>
  </si>
  <si>
    <t>PRECIO</t>
  </si>
  <si>
    <t>Paris</t>
  </si>
  <si>
    <t>Roma</t>
  </si>
  <si>
    <t>Madrid</t>
  </si>
  <si>
    <t>Londres</t>
  </si>
  <si>
    <t>Berlin</t>
  </si>
  <si>
    <t>Atenas</t>
  </si>
  <si>
    <t>Moscu</t>
  </si>
  <si>
    <t>Lisboa</t>
  </si>
  <si>
    <t>Andorra</t>
  </si>
  <si>
    <t>5 dias</t>
  </si>
  <si>
    <t>4 dias</t>
  </si>
  <si>
    <t>6 dias</t>
  </si>
  <si>
    <t>7 dias</t>
  </si>
  <si>
    <t>2 dias</t>
  </si>
  <si>
    <t>VIAJES PROGRAMADOS</t>
  </si>
  <si>
    <t>MAX</t>
  </si>
  <si>
    <t>PROMEDIO</t>
  </si>
  <si>
    <t>MIN</t>
  </si>
  <si>
    <t>atenas</t>
  </si>
  <si>
    <t>MODA</t>
  </si>
  <si>
    <t>MEDIANA</t>
  </si>
  <si>
    <t>Nº VIAJES</t>
  </si>
  <si>
    <t>CONTARA</t>
  </si>
  <si>
    <t>CONTARSI</t>
  </si>
  <si>
    <r>
      <t xml:space="preserve">En el CONTAR.SI se usa "&amp;" en el criterio despues de poner "&lt;" o "&gt;" Ejemplo:  </t>
    </r>
    <r>
      <rPr>
        <sz val="11"/>
        <color theme="7"/>
        <rFont val="Calibri"/>
        <family val="2"/>
        <scheme val="minor"/>
      </rPr>
      <t>"&lt;"</t>
    </r>
    <r>
      <rPr>
        <sz val="11"/>
        <color rgb="FFFF0000"/>
        <rFont val="Calibri"/>
        <family val="2"/>
        <scheme val="minor"/>
      </rPr>
      <t>&amp;</t>
    </r>
    <r>
      <rPr>
        <sz val="11"/>
        <color theme="3" tint="0.39997558519241921"/>
        <rFont val="Calibri"/>
        <family val="2"/>
        <scheme val="minor"/>
      </rPr>
      <t xml:space="preserve">H16      </t>
    </r>
    <r>
      <rPr>
        <sz val="11"/>
        <color theme="1"/>
        <rFont val="Calibri"/>
        <family val="2"/>
        <scheme val="minor"/>
      </rPr>
      <t xml:space="preserve">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</si>
</sst>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7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1" fillId="2" borderId="0">
      <alignment horizontal="center" vertical="center"/>
    </xf>
    <xf numFmtId="0" fontId="2" fillId="3" borderId="1"/>
    <xf numFmtId="164" fontId="3" fillId="4" borderId="2"/>
  </cellStyleXfs>
  <cellXfs count="52">
    <xf numFmtId="0" fontId="0" fillId="0" borderId="0" xfId="0"/>
    <xf numFmtId="0" fontId="4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4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0" xfId="0" applyFill="1" applyBorder="1"/>
    <xf numFmtId="164" fontId="0" fillId="0" borderId="19" xfId="0" applyNumberFormat="1" applyBorder="1"/>
    <xf numFmtId="164" fontId="0" fillId="0" borderId="22" xfId="0" applyNumberFormat="1" applyBorder="1"/>
    <xf numFmtId="0" fontId="0" fillId="7" borderId="0" xfId="0" applyFill="1"/>
    <xf numFmtId="0" fontId="0" fillId="8" borderId="18" xfId="0" applyFill="1" applyBorder="1"/>
    <xf numFmtId="0" fontId="0" fillId="8" borderId="0" xfId="0" applyFill="1" applyBorder="1"/>
    <xf numFmtId="0" fontId="0" fillId="8" borderId="19" xfId="0" applyFill="1" applyBorder="1"/>
    <xf numFmtId="164" fontId="0" fillId="0" borderId="0" xfId="0" applyNumberFormat="1"/>
    <xf numFmtId="0" fontId="0" fillId="10" borderId="0" xfId="0" applyFill="1" applyBorder="1"/>
    <xf numFmtId="0" fontId="0" fillId="4" borderId="26" xfId="0" applyFill="1" applyBorder="1"/>
    <xf numFmtId="0" fontId="0" fillId="4" borderId="28" xfId="0" applyFill="1" applyBorder="1"/>
    <xf numFmtId="0" fontId="0" fillId="4" borderId="0" xfId="0" applyFill="1" applyBorder="1"/>
    <xf numFmtId="0" fontId="0" fillId="4" borderId="27" xfId="0" applyFill="1" applyBorder="1"/>
    <xf numFmtId="0" fontId="0" fillId="4" borderId="30" xfId="0" applyFill="1" applyBorder="1"/>
    <xf numFmtId="0" fontId="0" fillId="4" borderId="29" xfId="0" applyFill="1" applyBorder="1"/>
    <xf numFmtId="0" fontId="0" fillId="6" borderId="0" xfId="0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 vertic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">
    <cellStyle name="cabecera" xfId="1"/>
    <cellStyle name="columna izquierda" xfId="2"/>
    <cellStyle name="Normal" xfId="0" builtinId="0"/>
    <cellStyle name="totales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6" sqref="E16"/>
    </sheetView>
  </sheetViews>
  <sheetFormatPr baseColWidth="10" defaultRowHeight="15" x14ac:dyDescent="0.25"/>
  <cols>
    <col min="2" max="2" width="21.28515625" customWidth="1"/>
    <col min="3" max="3" width="17.5703125" customWidth="1"/>
    <col min="4" max="4" width="13.140625" customWidth="1"/>
    <col min="5" max="5" width="15.28515625" customWidth="1"/>
  </cols>
  <sheetData>
    <row r="1" spans="1:5" ht="31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12</v>
      </c>
      <c r="B2" s="5" t="s">
        <v>15</v>
      </c>
      <c r="C2" s="6">
        <v>36660</v>
      </c>
      <c r="D2" s="5" t="s">
        <v>4</v>
      </c>
      <c r="E2" s="7" t="s">
        <v>5</v>
      </c>
    </row>
    <row r="3" spans="1:5" ht="15.75" x14ac:dyDescent="0.25">
      <c r="A3" s="8">
        <v>168</v>
      </c>
      <c r="B3" s="9" t="s">
        <v>14</v>
      </c>
      <c r="C3" s="10">
        <v>36413</v>
      </c>
      <c r="D3" s="9" t="s">
        <v>1</v>
      </c>
      <c r="E3" s="11" t="s">
        <v>3</v>
      </c>
    </row>
    <row r="4" spans="1:5" ht="15.75" x14ac:dyDescent="0.25">
      <c r="A4" s="8">
        <v>101</v>
      </c>
      <c r="B4" s="9" t="s">
        <v>13</v>
      </c>
      <c r="C4" s="10">
        <v>35350</v>
      </c>
      <c r="D4" s="9" t="s">
        <v>4</v>
      </c>
      <c r="E4" s="11" t="s">
        <v>2</v>
      </c>
    </row>
    <row r="5" spans="1:5" ht="15.75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x14ac:dyDescent="0.25">
      <c r="A6" s="8">
        <v>37</v>
      </c>
      <c r="B6" s="9" t="s">
        <v>11</v>
      </c>
      <c r="C6" s="10">
        <v>34878</v>
      </c>
      <c r="D6" s="9" t="s">
        <v>1</v>
      </c>
      <c r="E6" s="11" t="s">
        <v>3</v>
      </c>
    </row>
    <row r="7" spans="1:5" ht="15.75" x14ac:dyDescent="0.25">
      <c r="A7" s="8">
        <v>443</v>
      </c>
      <c r="B7" s="9" t="s">
        <v>10</v>
      </c>
      <c r="C7" s="10">
        <v>34207</v>
      </c>
      <c r="D7" s="9" t="s">
        <v>1</v>
      </c>
      <c r="E7" s="11" t="s">
        <v>3</v>
      </c>
    </row>
    <row r="8" spans="1:5" ht="15.75" x14ac:dyDescent="0.25">
      <c r="A8" s="8">
        <v>17</v>
      </c>
      <c r="B8" s="9" t="s">
        <v>9</v>
      </c>
      <c r="C8" s="10">
        <v>33565</v>
      </c>
      <c r="D8" s="9" t="s">
        <v>1</v>
      </c>
      <c r="E8" s="11" t="s">
        <v>2</v>
      </c>
    </row>
    <row r="9" spans="1:5" ht="15.75" x14ac:dyDescent="0.25">
      <c r="A9" s="8">
        <v>345</v>
      </c>
      <c r="B9" s="9" t="s">
        <v>17</v>
      </c>
      <c r="C9" s="10">
        <v>31151</v>
      </c>
      <c r="D9" s="9" t="s">
        <v>1</v>
      </c>
      <c r="E9" s="11" t="s">
        <v>2</v>
      </c>
    </row>
    <row r="10" spans="1:5" ht="16.5" thickBot="1" x14ac:dyDescent="0.3">
      <c r="A10" s="12">
        <v>34</v>
      </c>
      <c r="B10" s="13" t="s">
        <v>16</v>
      </c>
      <c r="C10" s="14">
        <v>27640</v>
      </c>
      <c r="D10" s="13" t="s">
        <v>4</v>
      </c>
      <c r="E10" s="15" t="s">
        <v>2</v>
      </c>
    </row>
    <row r="11" spans="1:5" ht="15.75" thickTop="1" x14ac:dyDescent="0.25"/>
  </sheetData>
  <sortState ref="A2:E10">
    <sortCondition descending="1" ref="C2:C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G12" sqref="G12"/>
    </sheetView>
  </sheetViews>
  <sheetFormatPr baseColWidth="10" defaultRowHeight="15" x14ac:dyDescent="0.25"/>
  <cols>
    <col min="1" max="1" width="8" bestFit="1" customWidth="1"/>
    <col min="2" max="2" width="17" bestFit="1" customWidth="1"/>
    <col min="3" max="3" width="11.85546875" bestFit="1" customWidth="1"/>
    <col min="4" max="4" width="7" bestFit="1" customWidth="1"/>
    <col min="5" max="5" width="9.28515625" bestFit="1" customWidth="1"/>
  </cols>
  <sheetData>
    <row r="1" spans="1:5" ht="61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443</v>
      </c>
      <c r="B2" s="5" t="s">
        <v>10</v>
      </c>
      <c r="C2" s="6">
        <v>34207</v>
      </c>
      <c r="D2" s="5" t="s">
        <v>1</v>
      </c>
      <c r="E2" s="7" t="s">
        <v>3</v>
      </c>
    </row>
    <row r="3" spans="1:5" ht="15.75" x14ac:dyDescent="0.25">
      <c r="A3" s="8">
        <v>345</v>
      </c>
      <c r="B3" s="9" t="s">
        <v>17</v>
      </c>
      <c r="C3" s="10">
        <v>31151</v>
      </c>
      <c r="D3" s="9" t="s">
        <v>1</v>
      </c>
      <c r="E3" s="11" t="s">
        <v>2</v>
      </c>
    </row>
    <row r="4" spans="1:5" ht="15.75" x14ac:dyDescent="0.25">
      <c r="A4" s="8">
        <v>168</v>
      </c>
      <c r="B4" s="9" t="s">
        <v>14</v>
      </c>
      <c r="C4" s="10">
        <v>36413</v>
      </c>
      <c r="D4" s="9" t="s">
        <v>1</v>
      </c>
      <c r="E4" s="11" t="s">
        <v>3</v>
      </c>
    </row>
    <row r="5" spans="1:5" ht="15.75" x14ac:dyDescent="0.25">
      <c r="A5" s="8">
        <v>101</v>
      </c>
      <c r="B5" s="9" t="s">
        <v>13</v>
      </c>
      <c r="C5" s="10">
        <v>35350</v>
      </c>
      <c r="D5" s="9" t="s">
        <v>4</v>
      </c>
      <c r="E5" s="11" t="s">
        <v>2</v>
      </c>
    </row>
    <row r="6" spans="1:5" ht="15.75" x14ac:dyDescent="0.25">
      <c r="A6" s="8">
        <v>45</v>
      </c>
      <c r="B6" s="9" t="s">
        <v>12</v>
      </c>
      <c r="C6" s="10">
        <v>35263</v>
      </c>
      <c r="D6" s="9" t="s">
        <v>4</v>
      </c>
      <c r="E6" s="11" t="s">
        <v>5</v>
      </c>
    </row>
    <row r="7" spans="1:5" ht="15.75" x14ac:dyDescent="0.25">
      <c r="A7" s="8">
        <v>37</v>
      </c>
      <c r="B7" s="9" t="s">
        <v>11</v>
      </c>
      <c r="C7" s="10">
        <v>34878</v>
      </c>
      <c r="D7" s="9" t="s">
        <v>1</v>
      </c>
      <c r="E7" s="11" t="s">
        <v>3</v>
      </c>
    </row>
    <row r="8" spans="1:5" ht="15.75" x14ac:dyDescent="0.25">
      <c r="A8" s="8">
        <v>34</v>
      </c>
      <c r="B8" s="9" t="s">
        <v>16</v>
      </c>
      <c r="C8" s="10">
        <v>27640</v>
      </c>
      <c r="D8" s="9" t="s">
        <v>4</v>
      </c>
      <c r="E8" s="11" t="s">
        <v>2</v>
      </c>
    </row>
    <row r="9" spans="1:5" ht="15.75" x14ac:dyDescent="0.25">
      <c r="A9" s="8">
        <v>17</v>
      </c>
      <c r="B9" s="9" t="s">
        <v>9</v>
      </c>
      <c r="C9" s="10">
        <v>33565</v>
      </c>
      <c r="D9" s="9" t="s">
        <v>1</v>
      </c>
      <c r="E9" s="11" t="s">
        <v>2</v>
      </c>
    </row>
    <row r="10" spans="1:5" ht="16.5" thickBot="1" x14ac:dyDescent="0.3">
      <c r="A10" s="12">
        <v>12</v>
      </c>
      <c r="B10" s="13" t="s">
        <v>15</v>
      </c>
      <c r="C10" s="14">
        <v>36660</v>
      </c>
      <c r="D10" s="13" t="s">
        <v>4</v>
      </c>
      <c r="E10" s="15" t="s">
        <v>5</v>
      </c>
    </row>
    <row r="11" spans="1:5" ht="15.75" thickTop="1" x14ac:dyDescent="0.25"/>
  </sheetData>
  <sortState ref="A2:E10">
    <sortCondition descending="1" ref="A2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"/>
    </sheetView>
  </sheetViews>
  <sheetFormatPr baseColWidth="10" defaultRowHeight="15" x14ac:dyDescent="0.25"/>
  <cols>
    <col min="3" max="3" width="11.85546875" bestFit="1" customWidth="1"/>
  </cols>
  <sheetData>
    <row r="1" spans="1:5" ht="61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5.75" x14ac:dyDescent="0.25">
      <c r="A3" s="8">
        <v>101</v>
      </c>
      <c r="B3" s="9" t="s">
        <v>13</v>
      </c>
      <c r="C3" s="10">
        <v>35350</v>
      </c>
      <c r="D3" s="9" t="s">
        <v>4</v>
      </c>
      <c r="E3" s="11" t="s">
        <v>2</v>
      </c>
    </row>
    <row r="4" spans="1:5" ht="15.75" x14ac:dyDescent="0.25">
      <c r="A4" s="8">
        <v>34</v>
      </c>
      <c r="B4" s="9" t="s">
        <v>16</v>
      </c>
      <c r="C4" s="10">
        <v>27640</v>
      </c>
      <c r="D4" s="9" t="s">
        <v>4</v>
      </c>
      <c r="E4" s="11" t="s">
        <v>2</v>
      </c>
    </row>
    <row r="5" spans="1:5" ht="15.75" x14ac:dyDescent="0.25">
      <c r="A5" s="8">
        <v>345</v>
      </c>
      <c r="B5" s="9" t="s">
        <v>17</v>
      </c>
      <c r="C5" s="10">
        <v>31151</v>
      </c>
      <c r="D5" s="9" t="s">
        <v>1</v>
      </c>
      <c r="E5" s="11" t="s">
        <v>2</v>
      </c>
    </row>
    <row r="6" spans="1:5" ht="15.75" x14ac:dyDescent="0.25">
      <c r="A6" s="8">
        <v>443</v>
      </c>
      <c r="B6" s="9" t="s">
        <v>10</v>
      </c>
      <c r="C6" s="10">
        <v>34207</v>
      </c>
      <c r="D6" s="9" t="s">
        <v>1</v>
      </c>
      <c r="E6" s="11" t="s">
        <v>3</v>
      </c>
    </row>
    <row r="7" spans="1:5" ht="15.75" x14ac:dyDescent="0.25">
      <c r="A7" s="8">
        <v>37</v>
      </c>
      <c r="B7" s="9" t="s">
        <v>11</v>
      </c>
      <c r="C7" s="10">
        <v>34878</v>
      </c>
      <c r="D7" s="9" t="s">
        <v>1</v>
      </c>
      <c r="E7" s="11" t="s">
        <v>3</v>
      </c>
    </row>
    <row r="8" spans="1:5" ht="15.75" x14ac:dyDescent="0.25">
      <c r="A8" s="8">
        <v>168</v>
      </c>
      <c r="B8" s="9" t="s">
        <v>14</v>
      </c>
      <c r="C8" s="10">
        <v>36413</v>
      </c>
      <c r="D8" s="9" t="s">
        <v>1</v>
      </c>
      <c r="E8" s="11" t="s">
        <v>3</v>
      </c>
    </row>
    <row r="9" spans="1:5" ht="15.75" x14ac:dyDescent="0.25">
      <c r="A9" s="8">
        <v>45</v>
      </c>
      <c r="B9" s="9" t="s">
        <v>12</v>
      </c>
      <c r="C9" s="10">
        <v>35263</v>
      </c>
      <c r="D9" s="9" t="s">
        <v>4</v>
      </c>
      <c r="E9" s="11" t="s">
        <v>5</v>
      </c>
    </row>
    <row r="10" spans="1:5" ht="16.5" thickBot="1" x14ac:dyDescent="0.3">
      <c r="A10" s="12">
        <v>12</v>
      </c>
      <c r="B10" s="13" t="s">
        <v>15</v>
      </c>
      <c r="C10" s="14">
        <v>36660</v>
      </c>
      <c r="D10" s="13" t="s">
        <v>4</v>
      </c>
      <c r="E10" s="15" t="s">
        <v>5</v>
      </c>
    </row>
    <row r="11" spans="1:5" ht="15.75" thickTop="1" x14ac:dyDescent="0.25"/>
  </sheetData>
  <sortState ref="A2:E10">
    <sortCondition ref="E2:E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" sqref="B1"/>
    </sheetView>
  </sheetViews>
  <sheetFormatPr baseColWidth="10" defaultRowHeight="15" x14ac:dyDescent="0.25"/>
  <cols>
    <col min="2" max="2" width="17" bestFit="1" customWidth="1"/>
    <col min="3" max="3" width="11.85546875" bestFit="1" customWidth="1"/>
  </cols>
  <sheetData>
    <row r="1" spans="1:5" ht="61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12</v>
      </c>
      <c r="B2" s="5" t="s">
        <v>15</v>
      </c>
      <c r="C2" s="6">
        <v>36660</v>
      </c>
      <c r="D2" s="5" t="s">
        <v>4</v>
      </c>
      <c r="E2" s="7" t="s">
        <v>5</v>
      </c>
    </row>
    <row r="3" spans="1:5" ht="15.75" x14ac:dyDescent="0.25">
      <c r="A3" s="8">
        <v>168</v>
      </c>
      <c r="B3" s="9" t="s">
        <v>14</v>
      </c>
      <c r="C3" s="10">
        <v>36413</v>
      </c>
      <c r="D3" s="9" t="s">
        <v>1</v>
      </c>
      <c r="E3" s="11" t="s">
        <v>3</v>
      </c>
    </row>
    <row r="4" spans="1:5" ht="15.75" x14ac:dyDescent="0.25">
      <c r="A4" s="8">
        <v>45</v>
      </c>
      <c r="B4" s="9" t="s">
        <v>12</v>
      </c>
      <c r="C4" s="10">
        <v>35263</v>
      </c>
      <c r="D4" s="9" t="s">
        <v>4</v>
      </c>
      <c r="E4" s="11" t="s">
        <v>5</v>
      </c>
    </row>
    <row r="5" spans="1:5" ht="15.75" x14ac:dyDescent="0.25">
      <c r="A5" s="8">
        <v>443</v>
      </c>
      <c r="B5" s="9" t="s">
        <v>10</v>
      </c>
      <c r="C5" s="10">
        <v>34207</v>
      </c>
      <c r="D5" s="9" t="s">
        <v>1</v>
      </c>
      <c r="E5" s="11" t="s">
        <v>3</v>
      </c>
    </row>
    <row r="6" spans="1:5" ht="15.75" x14ac:dyDescent="0.25">
      <c r="A6" s="8">
        <v>17</v>
      </c>
      <c r="B6" s="9" t="s">
        <v>9</v>
      </c>
      <c r="C6" s="10">
        <v>33565</v>
      </c>
      <c r="D6" s="9" t="s">
        <v>1</v>
      </c>
      <c r="E6" s="11" t="s">
        <v>2</v>
      </c>
    </row>
    <row r="7" spans="1:5" ht="15.75" x14ac:dyDescent="0.25">
      <c r="A7" s="8">
        <v>345</v>
      </c>
      <c r="B7" s="9" t="s">
        <v>17</v>
      </c>
      <c r="C7" s="10">
        <v>31151</v>
      </c>
      <c r="D7" s="9" t="s">
        <v>1</v>
      </c>
      <c r="E7" s="11" t="s">
        <v>2</v>
      </c>
    </row>
    <row r="8" spans="1:5" ht="15.75" x14ac:dyDescent="0.25">
      <c r="A8" s="8">
        <v>37</v>
      </c>
      <c r="B8" s="9" t="s">
        <v>11</v>
      </c>
      <c r="C8" s="10">
        <v>34878</v>
      </c>
      <c r="D8" s="9" t="s">
        <v>1</v>
      </c>
      <c r="E8" s="11" t="s">
        <v>3</v>
      </c>
    </row>
    <row r="9" spans="1:5" ht="15.75" x14ac:dyDescent="0.25">
      <c r="A9" s="8">
        <v>101</v>
      </c>
      <c r="B9" s="9" t="s">
        <v>13</v>
      </c>
      <c r="C9" s="10">
        <v>35350</v>
      </c>
      <c r="D9" s="9" t="s">
        <v>4</v>
      </c>
      <c r="E9" s="11" t="s">
        <v>2</v>
      </c>
    </row>
    <row r="10" spans="1:5" ht="16.5" thickBot="1" x14ac:dyDescent="0.3">
      <c r="A10" s="12">
        <v>34</v>
      </c>
      <c r="B10" s="13" t="s">
        <v>16</v>
      </c>
      <c r="C10" s="14">
        <v>27640</v>
      </c>
      <c r="D10" s="13" t="s">
        <v>4</v>
      </c>
      <c r="E10" s="15" t="s">
        <v>2</v>
      </c>
    </row>
    <row r="11" spans="1:5" ht="15.75" thickTop="1" x14ac:dyDescent="0.25"/>
  </sheetData>
  <sortState ref="A2:E10">
    <sortCondition ref="B2:B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"/>
  <sheetViews>
    <sheetView workbookViewId="0">
      <selection activeCell="C24" sqref="C24"/>
    </sheetView>
  </sheetViews>
  <sheetFormatPr baseColWidth="10" defaultRowHeight="15" x14ac:dyDescent="0.25"/>
  <cols>
    <col min="2" max="2" width="17" bestFit="1" customWidth="1"/>
    <col min="3" max="3" width="11.85546875" bestFit="1" customWidth="1"/>
  </cols>
  <sheetData>
    <row r="1" spans="1:5" ht="46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5.75" x14ac:dyDescent="0.25">
      <c r="A3" s="8">
        <v>443</v>
      </c>
      <c r="B3" s="9" t="s">
        <v>10</v>
      </c>
      <c r="C3" s="10">
        <v>34207</v>
      </c>
      <c r="D3" s="9" t="s">
        <v>1</v>
      </c>
      <c r="E3" s="11" t="s">
        <v>3</v>
      </c>
    </row>
    <row r="4" spans="1:5" ht="15.75" x14ac:dyDescent="0.25">
      <c r="A4" s="8">
        <v>37</v>
      </c>
      <c r="B4" s="9" t="s">
        <v>11</v>
      </c>
      <c r="C4" s="10">
        <v>34878</v>
      </c>
      <c r="D4" s="9" t="s">
        <v>1</v>
      </c>
      <c r="E4" s="11" t="s">
        <v>3</v>
      </c>
    </row>
    <row r="5" spans="1:5" ht="15.75" hidden="1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hidden="1" x14ac:dyDescent="0.25">
      <c r="A6" s="8">
        <v>101</v>
      </c>
      <c r="B6" s="9" t="s">
        <v>13</v>
      </c>
      <c r="C6" s="10">
        <v>35350</v>
      </c>
      <c r="D6" s="9" t="s">
        <v>4</v>
      </c>
      <c r="E6" s="11" t="s">
        <v>2</v>
      </c>
    </row>
    <row r="7" spans="1:5" ht="15.75" x14ac:dyDescent="0.25">
      <c r="A7" s="8">
        <v>168</v>
      </c>
      <c r="B7" s="9" t="s">
        <v>14</v>
      </c>
      <c r="C7" s="10">
        <v>36413</v>
      </c>
      <c r="D7" s="9" t="s">
        <v>1</v>
      </c>
      <c r="E7" s="11" t="s">
        <v>3</v>
      </c>
    </row>
    <row r="8" spans="1:5" ht="15.75" hidden="1" x14ac:dyDescent="0.25">
      <c r="A8" s="8">
        <v>12</v>
      </c>
      <c r="B8" s="9" t="s">
        <v>15</v>
      </c>
      <c r="C8" s="10">
        <v>36660</v>
      </c>
      <c r="D8" s="9" t="s">
        <v>4</v>
      </c>
      <c r="E8" s="11" t="s">
        <v>5</v>
      </c>
    </row>
    <row r="9" spans="1:5" ht="15.75" hidden="1" x14ac:dyDescent="0.25">
      <c r="A9" s="8">
        <v>34</v>
      </c>
      <c r="B9" s="9" t="s">
        <v>16</v>
      </c>
      <c r="C9" s="10">
        <v>27640</v>
      </c>
      <c r="D9" s="9" t="s">
        <v>4</v>
      </c>
      <c r="E9" s="11" t="s">
        <v>2</v>
      </c>
    </row>
    <row r="10" spans="1:5" ht="16.5" thickBot="1" x14ac:dyDescent="0.3">
      <c r="A10" s="12">
        <v>345</v>
      </c>
      <c r="B10" s="13" t="s">
        <v>17</v>
      </c>
      <c r="C10" s="14">
        <v>31151</v>
      </c>
      <c r="D10" s="13" t="s">
        <v>1</v>
      </c>
      <c r="E10" s="15" t="s">
        <v>2</v>
      </c>
    </row>
    <row r="11" spans="1:5" ht="15.75" thickTop="1" x14ac:dyDescent="0.25"/>
  </sheetData>
  <autoFilter ref="A1:E10">
    <filterColumn colId="3">
      <filters>
        <filter val="F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"/>
  <sheetViews>
    <sheetView workbookViewId="0"/>
  </sheetViews>
  <sheetFormatPr baseColWidth="10" defaultRowHeight="15" x14ac:dyDescent="0.25"/>
  <cols>
    <col min="2" max="2" width="17" bestFit="1" customWidth="1"/>
    <col min="3" max="3" width="11.85546875" bestFit="1" customWidth="1"/>
  </cols>
  <sheetData>
    <row r="1" spans="1:5" ht="46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hidden="1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6.5" thickTop="1" x14ac:dyDescent="0.25">
      <c r="A3" s="8">
        <v>443</v>
      </c>
      <c r="B3" s="9" t="s">
        <v>10</v>
      </c>
      <c r="C3" s="10">
        <v>34207</v>
      </c>
      <c r="D3" s="9" t="s">
        <v>1</v>
      </c>
      <c r="E3" s="11" t="s">
        <v>3</v>
      </c>
    </row>
    <row r="4" spans="1:5" ht="15.75" hidden="1" x14ac:dyDescent="0.25">
      <c r="A4" s="8">
        <v>37</v>
      </c>
      <c r="B4" s="9" t="s">
        <v>11</v>
      </c>
      <c r="C4" s="10">
        <v>34878</v>
      </c>
      <c r="D4" s="9" t="s">
        <v>1</v>
      </c>
      <c r="E4" s="11" t="s">
        <v>3</v>
      </c>
    </row>
    <row r="5" spans="1:5" ht="15.75" hidden="1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hidden="1" x14ac:dyDescent="0.25">
      <c r="A6" s="8">
        <v>101</v>
      </c>
      <c r="B6" s="9" t="s">
        <v>13</v>
      </c>
      <c r="C6" s="10">
        <v>35350</v>
      </c>
      <c r="D6" s="9" t="s">
        <v>4</v>
      </c>
      <c r="E6" s="11" t="s">
        <v>2</v>
      </c>
    </row>
    <row r="7" spans="1:5" ht="15.75" x14ac:dyDescent="0.25">
      <c r="A7" s="8">
        <v>168</v>
      </c>
      <c r="B7" s="9" t="s">
        <v>14</v>
      </c>
      <c r="C7" s="10">
        <v>36413</v>
      </c>
      <c r="D7" s="9" t="s">
        <v>1</v>
      </c>
      <c r="E7" s="11" t="s">
        <v>3</v>
      </c>
    </row>
    <row r="8" spans="1:5" ht="15.75" hidden="1" x14ac:dyDescent="0.25">
      <c r="A8" s="8">
        <v>12</v>
      </c>
      <c r="B8" s="9" t="s">
        <v>15</v>
      </c>
      <c r="C8" s="10">
        <v>36660</v>
      </c>
      <c r="D8" s="9" t="s">
        <v>4</v>
      </c>
      <c r="E8" s="11" t="s">
        <v>5</v>
      </c>
    </row>
    <row r="9" spans="1:5" ht="15.75" hidden="1" x14ac:dyDescent="0.25">
      <c r="A9" s="8">
        <v>34</v>
      </c>
      <c r="B9" s="9" t="s">
        <v>16</v>
      </c>
      <c r="C9" s="10">
        <v>27640</v>
      </c>
      <c r="D9" s="9" t="s">
        <v>4</v>
      </c>
      <c r="E9" s="11" t="s">
        <v>2</v>
      </c>
    </row>
    <row r="10" spans="1:5" ht="16.5" thickBot="1" x14ac:dyDescent="0.3">
      <c r="A10" s="12">
        <v>345</v>
      </c>
      <c r="B10" s="13" t="s">
        <v>17</v>
      </c>
      <c r="C10" s="14">
        <v>31151</v>
      </c>
      <c r="D10" s="13" t="s">
        <v>1</v>
      </c>
      <c r="E10" s="15" t="s">
        <v>2</v>
      </c>
    </row>
    <row r="11" spans="1:5" ht="15.75" thickTop="1" x14ac:dyDescent="0.25"/>
  </sheetData>
  <autoFilter ref="A1:E10">
    <filterColumn colId="0">
      <customFilters>
        <customFilter operator="greaterThanOrEqual" val="168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"/>
  <sheetViews>
    <sheetView workbookViewId="0"/>
  </sheetViews>
  <sheetFormatPr baseColWidth="10" defaultRowHeight="15" x14ac:dyDescent="0.25"/>
  <cols>
    <col min="2" max="2" width="17" bestFit="1" customWidth="1"/>
    <col min="3" max="3" width="11.85546875" bestFit="1" customWidth="1"/>
  </cols>
  <sheetData>
    <row r="1" spans="1:5" ht="46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hidden="1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6.5" hidden="1" thickTop="1" x14ac:dyDescent="0.25">
      <c r="A3" s="8">
        <v>443</v>
      </c>
      <c r="B3" s="9" t="s">
        <v>10</v>
      </c>
      <c r="C3" s="10">
        <v>34207</v>
      </c>
      <c r="D3" s="9" t="s">
        <v>1</v>
      </c>
      <c r="E3" s="11" t="s">
        <v>3</v>
      </c>
    </row>
    <row r="4" spans="1:5" ht="16.5" thickTop="1" x14ac:dyDescent="0.25">
      <c r="A4" s="8">
        <v>37</v>
      </c>
      <c r="B4" s="9" t="s">
        <v>11</v>
      </c>
      <c r="C4" s="10">
        <v>34878</v>
      </c>
      <c r="D4" s="9" t="s">
        <v>1</v>
      </c>
      <c r="E4" s="11" t="s">
        <v>3</v>
      </c>
    </row>
    <row r="5" spans="1:5" ht="15.75" hidden="1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hidden="1" x14ac:dyDescent="0.25">
      <c r="A6" s="8">
        <v>101</v>
      </c>
      <c r="B6" s="9" t="s">
        <v>13</v>
      </c>
      <c r="C6" s="10">
        <v>35350</v>
      </c>
      <c r="D6" s="9" t="s">
        <v>4</v>
      </c>
      <c r="E6" s="11" t="s">
        <v>2</v>
      </c>
    </row>
    <row r="7" spans="1:5" ht="15.75" hidden="1" x14ac:dyDescent="0.25">
      <c r="A7" s="8">
        <v>168</v>
      </c>
      <c r="B7" s="9" t="s">
        <v>14</v>
      </c>
      <c r="C7" s="10">
        <v>36413</v>
      </c>
      <c r="D7" s="9" t="s">
        <v>1</v>
      </c>
      <c r="E7" s="11" t="s">
        <v>3</v>
      </c>
    </row>
    <row r="8" spans="1:5" ht="15.75" hidden="1" x14ac:dyDescent="0.25">
      <c r="A8" s="8">
        <v>12</v>
      </c>
      <c r="B8" s="9" t="s">
        <v>15</v>
      </c>
      <c r="C8" s="10">
        <v>36660</v>
      </c>
      <c r="D8" s="9" t="s">
        <v>4</v>
      </c>
      <c r="E8" s="11" t="s">
        <v>5</v>
      </c>
    </row>
    <row r="9" spans="1:5" ht="15.75" x14ac:dyDescent="0.25">
      <c r="A9" s="8">
        <v>34</v>
      </c>
      <c r="B9" s="9" t="s">
        <v>16</v>
      </c>
      <c r="C9" s="10">
        <v>27640</v>
      </c>
      <c r="D9" s="9" t="s">
        <v>4</v>
      </c>
      <c r="E9" s="11" t="s">
        <v>2</v>
      </c>
    </row>
    <row r="10" spans="1:5" ht="16.5" hidden="1" thickBot="1" x14ac:dyDescent="0.3">
      <c r="A10" s="12">
        <v>345</v>
      </c>
      <c r="B10" s="13" t="s">
        <v>17</v>
      </c>
      <c r="C10" s="14">
        <v>31151</v>
      </c>
      <c r="D10" s="13" t="s">
        <v>1</v>
      </c>
      <c r="E10" s="15" t="s">
        <v>2</v>
      </c>
    </row>
  </sheetData>
  <autoFilter ref="A1:E10">
    <filterColumn colId="0">
      <customFilters and="1">
        <customFilter operator="greaterThanOrEqual" val="30"/>
        <customFilter operator="lessThanOrEqual" val="40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"/>
  <sheetViews>
    <sheetView workbookViewId="0">
      <selection activeCell="D1" sqref="D1"/>
    </sheetView>
  </sheetViews>
  <sheetFormatPr baseColWidth="10" defaultRowHeight="15" x14ac:dyDescent="0.25"/>
  <cols>
    <col min="1" max="1" width="8" bestFit="1" customWidth="1"/>
    <col min="2" max="2" width="17" bestFit="1" customWidth="1"/>
    <col min="3" max="3" width="11.85546875" bestFit="1" customWidth="1"/>
  </cols>
  <sheetData>
    <row r="1" spans="1:5" ht="46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hidden="1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6.5" hidden="1" thickTop="1" x14ac:dyDescent="0.25">
      <c r="A3" s="8">
        <v>443</v>
      </c>
      <c r="B3" s="9" t="s">
        <v>10</v>
      </c>
      <c r="C3" s="10">
        <v>34207</v>
      </c>
      <c r="D3" s="9" t="s">
        <v>1</v>
      </c>
      <c r="E3" s="11" t="s">
        <v>3</v>
      </c>
    </row>
    <row r="4" spans="1:5" ht="16.5" hidden="1" thickTop="1" x14ac:dyDescent="0.25">
      <c r="A4" s="8">
        <v>37</v>
      </c>
      <c r="B4" s="9" t="s">
        <v>11</v>
      </c>
      <c r="C4" s="10">
        <v>34878</v>
      </c>
      <c r="D4" s="9" t="s">
        <v>1</v>
      </c>
      <c r="E4" s="11" t="s">
        <v>3</v>
      </c>
    </row>
    <row r="5" spans="1:5" ht="16.5" thickTop="1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x14ac:dyDescent="0.25">
      <c r="A6" s="8">
        <v>101</v>
      </c>
      <c r="B6" s="9" t="s">
        <v>13</v>
      </c>
      <c r="C6" s="10">
        <v>35350</v>
      </c>
      <c r="D6" s="9" t="s">
        <v>4</v>
      </c>
      <c r="E6" s="11" t="s">
        <v>2</v>
      </c>
    </row>
    <row r="7" spans="1:5" ht="15.75" hidden="1" x14ac:dyDescent="0.25">
      <c r="A7" s="8">
        <v>168</v>
      </c>
      <c r="B7" s="9" t="s">
        <v>14</v>
      </c>
      <c r="C7" s="10">
        <v>36413</v>
      </c>
      <c r="D7" s="9" t="s">
        <v>1</v>
      </c>
      <c r="E7" s="11" t="s">
        <v>3</v>
      </c>
    </row>
    <row r="8" spans="1:5" ht="15.75" hidden="1" x14ac:dyDescent="0.25">
      <c r="A8" s="8">
        <v>12</v>
      </c>
      <c r="B8" s="9" t="s">
        <v>15</v>
      </c>
      <c r="C8" s="10">
        <v>36660</v>
      </c>
      <c r="D8" s="9" t="s">
        <v>4</v>
      </c>
      <c r="E8" s="11" t="s">
        <v>5</v>
      </c>
    </row>
    <row r="9" spans="1:5" ht="15.75" hidden="1" x14ac:dyDescent="0.25">
      <c r="A9" s="8">
        <v>34</v>
      </c>
      <c r="B9" s="9" t="s">
        <v>16</v>
      </c>
      <c r="C9" s="10">
        <v>27640</v>
      </c>
      <c r="D9" s="9" t="s">
        <v>4</v>
      </c>
      <c r="E9" s="11" t="s">
        <v>2</v>
      </c>
    </row>
    <row r="10" spans="1:5" ht="16.5" hidden="1" thickBot="1" x14ac:dyDescent="0.3">
      <c r="A10" s="12">
        <v>345</v>
      </c>
      <c r="B10" s="13" t="s">
        <v>17</v>
      </c>
      <c r="C10" s="14">
        <v>31151</v>
      </c>
      <c r="D10" s="13" t="s">
        <v>1</v>
      </c>
      <c r="E10" s="15" t="s">
        <v>2</v>
      </c>
    </row>
  </sheetData>
  <autoFilter ref="A1:E10">
    <filterColumn colId="0">
      <customFilters>
        <customFilter operator="greaterThan" val="40"/>
      </customFilters>
    </filterColumn>
    <filterColumn colId="3">
      <filters>
        <filter val="M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"/>
  <sheetViews>
    <sheetView workbookViewId="0">
      <selection activeCell="G10" sqref="G10"/>
    </sheetView>
  </sheetViews>
  <sheetFormatPr baseColWidth="10" defaultRowHeight="15" x14ac:dyDescent="0.25"/>
  <cols>
    <col min="2" max="2" width="17" bestFit="1" customWidth="1"/>
    <col min="3" max="3" width="11.85546875" bestFit="1" customWidth="1"/>
  </cols>
  <sheetData>
    <row r="1" spans="1:5" ht="46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5.75" hidden="1" x14ac:dyDescent="0.25">
      <c r="A3" s="8">
        <v>443</v>
      </c>
      <c r="B3" s="9" t="s">
        <v>10</v>
      </c>
      <c r="C3" s="10">
        <v>34207</v>
      </c>
      <c r="D3" s="9" t="s">
        <v>1</v>
      </c>
      <c r="E3" s="11" t="s">
        <v>3</v>
      </c>
    </row>
    <row r="4" spans="1:5" ht="15.75" hidden="1" x14ac:dyDescent="0.25">
      <c r="A4" s="8">
        <v>37</v>
      </c>
      <c r="B4" s="9" t="s">
        <v>11</v>
      </c>
      <c r="C4" s="10">
        <v>34878</v>
      </c>
      <c r="D4" s="9" t="s">
        <v>1</v>
      </c>
      <c r="E4" s="11" t="s">
        <v>3</v>
      </c>
    </row>
    <row r="5" spans="1:5" ht="15.75" hidden="1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hidden="1" x14ac:dyDescent="0.25">
      <c r="A6" s="8">
        <v>101</v>
      </c>
      <c r="B6" s="9" t="s">
        <v>13</v>
      </c>
      <c r="C6" s="10">
        <v>35350</v>
      </c>
      <c r="D6" s="9" t="s">
        <v>4</v>
      </c>
      <c r="E6" s="11" t="s">
        <v>2</v>
      </c>
    </row>
    <row r="7" spans="1:5" ht="15.75" hidden="1" x14ac:dyDescent="0.25">
      <c r="A7" s="8">
        <v>168</v>
      </c>
      <c r="B7" s="9" t="s">
        <v>14</v>
      </c>
      <c r="C7" s="10">
        <v>36413</v>
      </c>
      <c r="D7" s="9" t="s">
        <v>1</v>
      </c>
      <c r="E7" s="11" t="s">
        <v>3</v>
      </c>
    </row>
    <row r="8" spans="1:5" ht="15.75" hidden="1" x14ac:dyDescent="0.25">
      <c r="A8" s="8">
        <v>12</v>
      </c>
      <c r="B8" s="9" t="s">
        <v>15</v>
      </c>
      <c r="C8" s="10">
        <v>36660</v>
      </c>
      <c r="D8" s="9" t="s">
        <v>4</v>
      </c>
      <c r="E8" s="11" t="s">
        <v>5</v>
      </c>
    </row>
    <row r="9" spans="1:5" ht="15.75" x14ac:dyDescent="0.25">
      <c r="A9" s="8">
        <v>34</v>
      </c>
      <c r="B9" s="9" t="s">
        <v>16</v>
      </c>
      <c r="C9" s="10">
        <v>27640</v>
      </c>
      <c r="D9" s="9" t="s">
        <v>4</v>
      </c>
      <c r="E9" s="11" t="s">
        <v>2</v>
      </c>
    </row>
    <row r="10" spans="1:5" ht="16.5" thickBot="1" x14ac:dyDescent="0.3">
      <c r="A10" s="12">
        <v>345</v>
      </c>
      <c r="B10" s="13" t="s">
        <v>17</v>
      </c>
      <c r="C10" s="14">
        <v>31151</v>
      </c>
      <c r="D10" s="13" t="s">
        <v>1</v>
      </c>
      <c r="E10" s="15" t="s">
        <v>2</v>
      </c>
    </row>
    <row r="11" spans="1:5" ht="15.75" thickTop="1" x14ac:dyDescent="0.25"/>
  </sheetData>
  <autoFilter ref="A1:E10">
    <filterColumn colId="2">
      <customFilters>
        <customFilter operator="lessThan" val="33566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"/>
  <sheetViews>
    <sheetView topLeftCell="A9" workbookViewId="0">
      <selection activeCell="A19" sqref="A19:A29"/>
    </sheetView>
  </sheetViews>
  <sheetFormatPr baseColWidth="10" defaultRowHeight="15" x14ac:dyDescent="0.25"/>
  <cols>
    <col min="2" max="2" width="17" bestFit="1" customWidth="1"/>
    <col min="3" max="3" width="11.85546875" bestFit="1" customWidth="1"/>
  </cols>
  <sheetData>
    <row r="1" spans="1:5" ht="46.5" thickTop="1" thickBot="1" x14ac:dyDescent="0.3">
      <c r="A1" s="1" t="s">
        <v>6</v>
      </c>
      <c r="B1" s="2" t="s">
        <v>0</v>
      </c>
      <c r="C1" s="2" t="s">
        <v>18</v>
      </c>
      <c r="D1" s="2" t="s">
        <v>7</v>
      </c>
      <c r="E1" s="3" t="s">
        <v>8</v>
      </c>
    </row>
    <row r="2" spans="1:5" ht="16.5" thickTop="1" x14ac:dyDescent="0.25">
      <c r="A2" s="4">
        <v>17</v>
      </c>
      <c r="B2" s="5" t="s">
        <v>9</v>
      </c>
      <c r="C2" s="6">
        <v>33565</v>
      </c>
      <c r="D2" s="5" t="s">
        <v>1</v>
      </c>
      <c r="E2" s="7" t="s">
        <v>2</v>
      </c>
    </row>
    <row r="3" spans="1:5" ht="15.75" x14ac:dyDescent="0.25">
      <c r="A3" s="8">
        <v>443</v>
      </c>
      <c r="B3" s="9" t="s">
        <v>10</v>
      </c>
      <c r="C3" s="10">
        <v>34207</v>
      </c>
      <c r="D3" s="9" t="s">
        <v>1</v>
      </c>
      <c r="E3" s="11" t="s">
        <v>3</v>
      </c>
    </row>
    <row r="4" spans="1:5" ht="15.75" x14ac:dyDescent="0.25">
      <c r="A4" s="8">
        <v>37</v>
      </c>
      <c r="B4" s="9" t="s">
        <v>11</v>
      </c>
      <c r="C4" s="10">
        <v>34878</v>
      </c>
      <c r="D4" s="9" t="s">
        <v>1</v>
      </c>
      <c r="E4" s="11" t="s">
        <v>3</v>
      </c>
    </row>
    <row r="5" spans="1:5" ht="15.75" hidden="1" x14ac:dyDescent="0.25">
      <c r="A5" s="8">
        <v>45</v>
      </c>
      <c r="B5" s="9" t="s">
        <v>12</v>
      </c>
      <c r="C5" s="10">
        <v>35263</v>
      </c>
      <c r="D5" s="9" t="s">
        <v>4</v>
      </c>
      <c r="E5" s="11" t="s">
        <v>5</v>
      </c>
    </row>
    <row r="6" spans="1:5" ht="15.75" x14ac:dyDescent="0.25">
      <c r="A6" s="8">
        <v>101</v>
      </c>
      <c r="B6" s="9" t="s">
        <v>13</v>
      </c>
      <c r="C6" s="10">
        <v>35350</v>
      </c>
      <c r="D6" s="9" t="s">
        <v>4</v>
      </c>
      <c r="E6" s="11" t="s">
        <v>2</v>
      </c>
    </row>
    <row r="7" spans="1:5" ht="15.75" x14ac:dyDescent="0.25">
      <c r="A7" s="8">
        <v>168</v>
      </c>
      <c r="B7" s="9" t="s">
        <v>14</v>
      </c>
      <c r="C7" s="10">
        <v>36413</v>
      </c>
      <c r="D7" s="9" t="s">
        <v>1</v>
      </c>
      <c r="E7" s="11" t="s">
        <v>3</v>
      </c>
    </row>
    <row r="8" spans="1:5" ht="15.75" hidden="1" x14ac:dyDescent="0.25">
      <c r="A8" s="8">
        <v>12</v>
      </c>
      <c r="B8" s="9" t="s">
        <v>15</v>
      </c>
      <c r="C8" s="10">
        <v>36660</v>
      </c>
      <c r="D8" s="9" t="s">
        <v>4</v>
      </c>
      <c r="E8" s="11" t="s">
        <v>5</v>
      </c>
    </row>
    <row r="9" spans="1:5" ht="15.75" x14ac:dyDescent="0.25">
      <c r="A9" s="8">
        <v>34</v>
      </c>
      <c r="B9" s="9" t="s">
        <v>16</v>
      </c>
      <c r="C9" s="10">
        <v>27640</v>
      </c>
      <c r="D9" s="9" t="s">
        <v>4</v>
      </c>
      <c r="E9" s="11" t="s">
        <v>2</v>
      </c>
    </row>
    <row r="10" spans="1:5" ht="16.5" thickBot="1" x14ac:dyDescent="0.3">
      <c r="A10" s="12">
        <v>345</v>
      </c>
      <c r="B10" s="13" t="s">
        <v>17</v>
      </c>
      <c r="C10" s="14">
        <v>31151</v>
      </c>
      <c r="D10" s="13" t="s">
        <v>1</v>
      </c>
      <c r="E10" s="15" t="s">
        <v>2</v>
      </c>
    </row>
    <row r="11" spans="1:5" ht="15.75" thickTop="1" x14ac:dyDescent="0.25"/>
  </sheetData>
  <autoFilter ref="A1:E10">
    <filterColumn colId="4">
      <filters>
        <filter val="B1"/>
        <filter val="B2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H9" sqref="H9"/>
    </sheetView>
  </sheetViews>
  <sheetFormatPr baseColWidth="10" defaultRowHeight="15" x14ac:dyDescent="0.25"/>
  <cols>
    <col min="1" max="1" width="20.28515625" bestFit="1" customWidth="1"/>
    <col min="2" max="3" width="16.42578125" bestFit="1" customWidth="1"/>
    <col min="4" max="4" width="15.42578125" bestFit="1" customWidth="1"/>
    <col min="5" max="5" width="11.5703125" bestFit="1" customWidth="1"/>
  </cols>
  <sheetData>
    <row r="2" spans="1:5" x14ac:dyDescent="0.25">
      <c r="A2" t="s">
        <v>50</v>
      </c>
      <c r="B2" s="41" t="s">
        <v>30</v>
      </c>
      <c r="C2" s="41"/>
    </row>
    <row r="3" spans="1:5" x14ac:dyDescent="0.25">
      <c r="A3" t="s">
        <v>51</v>
      </c>
      <c r="B3" s="24" t="str">
        <f>VLOOKUP(B2,B9:D17,2,FALSE)</f>
        <v>Alegria</v>
      </c>
      <c r="C3" s="24" t="str">
        <f>VLOOKUP(B2,B9:D17,3,FALSE)</f>
        <v>Ocon Ramos</v>
      </c>
    </row>
    <row r="4" spans="1:5" x14ac:dyDescent="0.25">
      <c r="A4" t="s">
        <v>22</v>
      </c>
      <c r="B4" s="42">
        <f>VLOOKUP(B2,B9:E17,4,FALSE)</f>
        <v>8765</v>
      </c>
      <c r="C4" s="42"/>
    </row>
    <row r="6" spans="1:5" ht="15.75" thickBot="1" x14ac:dyDescent="0.3"/>
    <row r="7" spans="1:5" x14ac:dyDescent="0.25">
      <c r="B7" s="38" t="s">
        <v>19</v>
      </c>
      <c r="C7" s="39"/>
      <c r="D7" s="39"/>
      <c r="E7" s="40"/>
    </row>
    <row r="8" spans="1:5" x14ac:dyDescent="0.25">
      <c r="B8" s="25" t="s">
        <v>20</v>
      </c>
      <c r="C8" s="26" t="s">
        <v>0</v>
      </c>
      <c r="D8" s="26" t="s">
        <v>21</v>
      </c>
      <c r="E8" s="27" t="s">
        <v>22</v>
      </c>
    </row>
    <row r="9" spans="1:5" x14ac:dyDescent="0.25">
      <c r="B9" s="17" t="s">
        <v>23</v>
      </c>
      <c r="C9" s="18" t="s">
        <v>32</v>
      </c>
      <c r="D9" s="18" t="s">
        <v>41</v>
      </c>
      <c r="E9" s="22">
        <v>15000</v>
      </c>
    </row>
    <row r="10" spans="1:5" x14ac:dyDescent="0.25">
      <c r="B10" s="17" t="s">
        <v>24</v>
      </c>
      <c r="C10" s="18" t="s">
        <v>33</v>
      </c>
      <c r="D10" s="18" t="s">
        <v>42</v>
      </c>
      <c r="E10" s="22">
        <v>53000</v>
      </c>
    </row>
    <row r="11" spans="1:5" x14ac:dyDescent="0.25">
      <c r="B11" s="17" t="s">
        <v>25</v>
      </c>
      <c r="C11" s="21" t="s">
        <v>34</v>
      </c>
      <c r="D11" s="21" t="s">
        <v>43</v>
      </c>
      <c r="E11" s="22">
        <v>250000</v>
      </c>
    </row>
    <row r="12" spans="1:5" x14ac:dyDescent="0.25">
      <c r="B12" s="17" t="s">
        <v>26</v>
      </c>
      <c r="C12" s="21" t="s">
        <v>35</v>
      </c>
      <c r="D12" s="21" t="s">
        <v>44</v>
      </c>
      <c r="E12" s="22">
        <v>850</v>
      </c>
    </row>
    <row r="13" spans="1:5" x14ac:dyDescent="0.25">
      <c r="B13" s="17" t="s">
        <v>27</v>
      </c>
      <c r="C13" s="21" t="s">
        <v>36</v>
      </c>
      <c r="D13" s="21" t="s">
        <v>45</v>
      </c>
      <c r="E13" s="22">
        <v>150</v>
      </c>
    </row>
    <row r="14" spans="1:5" x14ac:dyDescent="0.25">
      <c r="B14" s="17" t="s">
        <v>28</v>
      </c>
      <c r="C14" s="21" t="s">
        <v>37</v>
      </c>
      <c r="D14" s="21" t="s">
        <v>46</v>
      </c>
      <c r="E14" s="22">
        <v>357850</v>
      </c>
    </row>
    <row r="15" spans="1:5" x14ac:dyDescent="0.25">
      <c r="B15" s="17" t="s">
        <v>29</v>
      </c>
      <c r="C15" s="21" t="s">
        <v>38</v>
      </c>
      <c r="D15" s="21" t="s">
        <v>47</v>
      </c>
      <c r="E15" s="22">
        <v>1245</v>
      </c>
    </row>
    <row r="16" spans="1:5" x14ac:dyDescent="0.25">
      <c r="B16" s="17" t="s">
        <v>30</v>
      </c>
      <c r="C16" s="21" t="s">
        <v>39</v>
      </c>
      <c r="D16" s="21" t="s">
        <v>48</v>
      </c>
      <c r="E16" s="22">
        <v>8765</v>
      </c>
    </row>
    <row r="17" spans="2:5" ht="15.75" thickBot="1" x14ac:dyDescent="0.3">
      <c r="B17" s="19" t="s">
        <v>31</v>
      </c>
      <c r="C17" s="20" t="s">
        <v>40</v>
      </c>
      <c r="D17" s="20" t="s">
        <v>49</v>
      </c>
      <c r="E17" s="23">
        <v>33150</v>
      </c>
    </row>
    <row r="18" spans="2:5" x14ac:dyDescent="0.25">
      <c r="B18" s="16"/>
      <c r="C18" s="16"/>
      <c r="D18" s="16"/>
      <c r="E18" s="16"/>
    </row>
  </sheetData>
  <mergeCells count="3">
    <mergeCell ref="B7:E7"/>
    <mergeCell ref="B2:C2"/>
    <mergeCell ref="B4:C4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22"/>
  <sheetViews>
    <sheetView tabSelected="1" topLeftCell="A5" workbookViewId="0">
      <selection activeCell="M19" sqref="M19"/>
    </sheetView>
  </sheetViews>
  <sheetFormatPr baseColWidth="10" defaultRowHeight="15" x14ac:dyDescent="0.25"/>
  <cols>
    <col min="4" max="4" width="11.85546875" bestFit="1" customWidth="1"/>
  </cols>
  <sheetData>
    <row r="4" spans="1:13" ht="15.75" thickBot="1" x14ac:dyDescent="0.3">
      <c r="A4" t="s">
        <v>52</v>
      </c>
      <c r="B4" t="s">
        <v>20</v>
      </c>
      <c r="C4" t="s">
        <v>53</v>
      </c>
      <c r="D4" t="s">
        <v>54</v>
      </c>
    </row>
    <row r="5" spans="1:13" ht="15.75" thickTop="1" x14ac:dyDescent="0.25">
      <c r="A5" t="s">
        <v>55</v>
      </c>
      <c r="B5">
        <v>101</v>
      </c>
      <c r="C5" s="49" t="s">
        <v>64</v>
      </c>
      <c r="D5" s="28">
        <v>300</v>
      </c>
      <c r="F5" s="43" t="s">
        <v>69</v>
      </c>
      <c r="G5" s="44"/>
      <c r="H5" s="44"/>
      <c r="I5" s="45"/>
    </row>
    <row r="6" spans="1:13" x14ac:dyDescent="0.25">
      <c r="A6" t="s">
        <v>56</v>
      </c>
      <c r="B6">
        <v>102</v>
      </c>
      <c r="C6" s="49" t="s">
        <v>65</v>
      </c>
      <c r="D6" s="28">
        <v>310</v>
      </c>
      <c r="F6" s="46"/>
      <c r="G6" s="47"/>
      <c r="H6" s="47"/>
      <c r="I6" s="48"/>
    </row>
    <row r="7" spans="1:13" x14ac:dyDescent="0.25">
      <c r="A7" t="s">
        <v>57</v>
      </c>
      <c r="B7">
        <v>103</v>
      </c>
      <c r="C7" s="49" t="s">
        <v>66</v>
      </c>
      <c r="D7" s="28">
        <v>325</v>
      </c>
      <c r="F7" s="30"/>
      <c r="G7" s="32"/>
      <c r="H7" s="32"/>
      <c r="I7" s="33"/>
    </row>
    <row r="8" spans="1:13" x14ac:dyDescent="0.25">
      <c r="A8" t="s">
        <v>58</v>
      </c>
      <c r="B8">
        <v>104</v>
      </c>
      <c r="C8" s="49" t="s">
        <v>66</v>
      </c>
      <c r="D8" s="28">
        <v>420</v>
      </c>
      <c r="F8" s="30"/>
      <c r="G8" s="29" t="s">
        <v>52</v>
      </c>
      <c r="H8" s="36" t="s">
        <v>73</v>
      </c>
      <c r="I8" s="33"/>
      <c r="K8" s="51" t="s">
        <v>79</v>
      </c>
      <c r="L8" s="51"/>
      <c r="M8" s="51"/>
    </row>
    <row r="9" spans="1:13" x14ac:dyDescent="0.25">
      <c r="A9" t="s">
        <v>59</v>
      </c>
      <c r="B9">
        <v>105</v>
      </c>
      <c r="C9" s="49" t="s">
        <v>66</v>
      </c>
      <c r="D9" s="28">
        <v>430</v>
      </c>
      <c r="F9" s="30"/>
      <c r="G9" s="29" t="s">
        <v>20</v>
      </c>
      <c r="H9" s="36">
        <f>VLOOKUP(H8,A5:B13,2,FALSE)</f>
        <v>106</v>
      </c>
      <c r="I9" s="33"/>
      <c r="K9" s="51"/>
      <c r="L9" s="51"/>
      <c r="M9" s="51"/>
    </row>
    <row r="10" spans="1:13" x14ac:dyDescent="0.25">
      <c r="A10" t="s">
        <v>60</v>
      </c>
      <c r="B10">
        <v>106</v>
      </c>
      <c r="C10" s="49" t="s">
        <v>67</v>
      </c>
      <c r="D10" s="28">
        <v>452</v>
      </c>
      <c r="F10" s="30"/>
      <c r="G10" s="29" t="s">
        <v>53</v>
      </c>
      <c r="H10" s="36" t="str">
        <f>VLOOKUP(H8,A5:C13,3,FALSE)</f>
        <v>7 dias</v>
      </c>
      <c r="I10" s="33"/>
      <c r="K10" s="51"/>
      <c r="L10" s="51"/>
      <c r="M10" s="51"/>
    </row>
    <row r="11" spans="1:13" x14ac:dyDescent="0.25">
      <c r="A11" t="s">
        <v>61</v>
      </c>
      <c r="B11">
        <v>107</v>
      </c>
      <c r="C11" s="49" t="s">
        <v>64</v>
      </c>
      <c r="D11" s="28">
        <v>395</v>
      </c>
      <c r="F11" s="30"/>
      <c r="G11" s="29" t="s">
        <v>54</v>
      </c>
      <c r="H11" s="37">
        <f>VLOOKUP(H8,A5:D13,4,FALSE)</f>
        <v>452</v>
      </c>
      <c r="I11" s="33"/>
      <c r="K11" s="51"/>
      <c r="L11" s="51"/>
      <c r="M11" s="51"/>
    </row>
    <row r="12" spans="1:13" x14ac:dyDescent="0.25">
      <c r="A12" t="s">
        <v>62</v>
      </c>
      <c r="B12">
        <v>108</v>
      </c>
      <c r="C12" s="49" t="s">
        <v>65</v>
      </c>
      <c r="D12" s="28">
        <v>280</v>
      </c>
      <c r="F12" s="30"/>
      <c r="G12" s="32"/>
      <c r="H12" s="32"/>
      <c r="I12" s="33"/>
      <c r="K12" s="51"/>
      <c r="L12" s="51"/>
      <c r="M12" s="51"/>
    </row>
    <row r="13" spans="1:13" ht="15.75" thickBot="1" x14ac:dyDescent="0.3">
      <c r="A13" t="s">
        <v>63</v>
      </c>
      <c r="B13">
        <v>109</v>
      </c>
      <c r="C13" s="49" t="s">
        <v>68</v>
      </c>
      <c r="D13" s="28">
        <v>140</v>
      </c>
      <c r="F13" s="31"/>
      <c r="G13" s="35"/>
      <c r="H13" s="35"/>
      <c r="I13" s="34"/>
      <c r="K13" s="51"/>
      <c r="L13" s="51"/>
      <c r="M13" s="51"/>
    </row>
    <row r="14" spans="1:13" ht="15.75" thickTop="1" x14ac:dyDescent="0.25">
      <c r="C14" t="s">
        <v>71</v>
      </c>
      <c r="D14" s="28">
        <f>AVERAGE(D5:D13)</f>
        <v>339.11111111111109</v>
      </c>
      <c r="K14" s="51"/>
      <c r="L14" s="51"/>
      <c r="M14" s="51"/>
    </row>
    <row r="16" spans="1:13" x14ac:dyDescent="0.25">
      <c r="C16" t="s">
        <v>70</v>
      </c>
      <c r="D16" s="28">
        <f>MAX(D5:D13)</f>
        <v>452</v>
      </c>
      <c r="H16">
        <v>300</v>
      </c>
    </row>
    <row r="17" spans="3:11" x14ac:dyDescent="0.25">
      <c r="C17" t="s">
        <v>72</v>
      </c>
      <c r="D17" s="28">
        <f>MIN(D4:D13)</f>
        <v>140</v>
      </c>
      <c r="H17">
        <f>COUNTIF(D5:D13,"&gt;"&amp;H16)</f>
        <v>6</v>
      </c>
      <c r="K17" s="50"/>
    </row>
    <row r="18" spans="3:11" x14ac:dyDescent="0.25">
      <c r="C18" t="s">
        <v>74</v>
      </c>
      <c r="D18" s="28" t="e">
        <f>MODE(C5:C13)</f>
        <v>#N/A</v>
      </c>
    </row>
    <row r="19" spans="3:11" x14ac:dyDescent="0.25">
      <c r="C19" t="s">
        <v>75</v>
      </c>
      <c r="D19" s="28">
        <f>MEDIAN(D5:D14)</f>
        <v>332.05555555555554</v>
      </c>
    </row>
    <row r="20" spans="3:11" x14ac:dyDescent="0.25">
      <c r="C20" t="s">
        <v>76</v>
      </c>
      <c r="D20">
        <f>COUNT(B5:B13)</f>
        <v>9</v>
      </c>
    </row>
    <row r="21" spans="3:11" x14ac:dyDescent="0.25">
      <c r="C21" t="s">
        <v>77</v>
      </c>
      <c r="D21">
        <f>COUNTA(A5:A13)</f>
        <v>9</v>
      </c>
    </row>
    <row r="22" spans="3:11" x14ac:dyDescent="0.25">
      <c r="C22" t="s">
        <v>78</v>
      </c>
      <c r="D22">
        <f>COUNTIF(D5:D13,"&gt;200")</f>
        <v>8</v>
      </c>
    </row>
  </sheetData>
  <mergeCells count="2">
    <mergeCell ref="F5:I6"/>
    <mergeCell ref="K8:M1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Ejercicio 1 -A</vt:lpstr>
      <vt:lpstr>Ejercicio 1 -B</vt:lpstr>
      <vt:lpstr>Ejercicio 1 -C</vt:lpstr>
      <vt:lpstr>Ejercicio 1 -D</vt:lpstr>
      <vt:lpstr>Ejercicio 1 -E</vt:lpstr>
      <vt:lpstr>Ejercicio 1 -F</vt:lpstr>
      <vt:lpstr>Ejercicio 1 -G</vt:lpstr>
      <vt:lpstr>Ejercicio 1 -H</vt:lpstr>
      <vt:lpstr>Ejercicio 1 -I</vt:lpstr>
      <vt:lpstr>Ejercicio 1 -J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smr1</cp:lastModifiedBy>
  <dcterms:created xsi:type="dcterms:W3CDTF">2012-03-01T23:06:44Z</dcterms:created>
  <dcterms:modified xsi:type="dcterms:W3CDTF">2022-02-02T08:58:12Z</dcterms:modified>
</cp:coreProperties>
</file>