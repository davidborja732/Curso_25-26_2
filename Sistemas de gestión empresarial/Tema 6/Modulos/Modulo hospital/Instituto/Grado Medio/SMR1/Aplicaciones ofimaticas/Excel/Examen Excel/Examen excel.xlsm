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0490" windowHeight="7650" activeTab="4"/>
  </bookViews>
  <sheets>
    <sheet name="Hoja1" sheetId="2" r:id="rId1"/>
    <sheet name="Tabla dinamica recetas" sheetId="6" r:id="rId2"/>
    <sheet name="recetas" sheetId="1" r:id="rId3"/>
    <sheet name="Busqueda de recetas" sheetId="3" r:id="rId4"/>
    <sheet name="Precios" sheetId="4" r:id="rId5"/>
  </sheet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E7" i="4"/>
  <c r="F21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C21" i="4"/>
  <c r="B21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B1" i="3"/>
  <c r="D7" i="3"/>
  <c r="B5" i="3"/>
  <c r="C21" i="1"/>
  <c r="B21" i="1"/>
</calcChain>
</file>

<file path=xl/sharedStrings.xml><?xml version="1.0" encoding="utf-8"?>
<sst xmlns="http://schemas.openxmlformats.org/spreadsheetml/2006/main" count="134" uniqueCount="41">
  <si>
    <t>Número receta</t>
  </si>
  <si>
    <t>Brandada de bacalao</t>
  </si>
  <si>
    <t>Receta</t>
  </si>
  <si>
    <t>Nº ingredientes</t>
  </si>
  <si>
    <t>Tipo</t>
  </si>
  <si>
    <t>Sopa de ajo y variaciones</t>
  </si>
  <si>
    <t>Ensaladilla rusa</t>
  </si>
  <si>
    <t>Gazpacho a la antigua</t>
  </si>
  <si>
    <t>Crema de guisantes</t>
  </si>
  <si>
    <t>Ensalada César</t>
  </si>
  <si>
    <t>entrantes y primeros</t>
  </si>
  <si>
    <t>segundos platos</t>
  </si>
  <si>
    <t>Marmitako</t>
  </si>
  <si>
    <t>Cordero al horno</t>
  </si>
  <si>
    <t>Arroz de espárragos y alcachofas</t>
  </si>
  <si>
    <t>Pasta con sardinas y piñones</t>
  </si>
  <si>
    <t>Huevos al colchón</t>
  </si>
  <si>
    <t>Tarta de queso</t>
  </si>
  <si>
    <t>Panettone</t>
  </si>
  <si>
    <t>Flan de huevo</t>
  </si>
  <si>
    <t>postres</t>
  </si>
  <si>
    <t>Etiquetas de fila</t>
  </si>
  <si>
    <t>Total general</t>
  </si>
  <si>
    <t>LISTADO DE RECETAS</t>
  </si>
  <si>
    <t>Total</t>
  </si>
  <si>
    <t xml:space="preserve">Estas son las recetas a dia de hoy </t>
  </si>
  <si>
    <t xml:space="preserve">se tienen </t>
  </si>
  <si>
    <t xml:space="preserve">ingredientes del tipo </t>
  </si>
  <si>
    <t>La receta</t>
  </si>
  <si>
    <t xml:space="preserve">es del tipo </t>
  </si>
  <si>
    <t>hay</t>
  </si>
  <si>
    <t>ingredientes</t>
  </si>
  <si>
    <t xml:space="preserve">recetas con mas </t>
  </si>
  <si>
    <t xml:space="preserve">recetas con menos </t>
  </si>
  <si>
    <t xml:space="preserve">recetas con </t>
  </si>
  <si>
    <t xml:space="preserve">Realiza tus busquedas </t>
  </si>
  <si>
    <t xml:space="preserve">Precio </t>
  </si>
  <si>
    <t>Pedidos</t>
  </si>
  <si>
    <t xml:space="preserve">Entrantes primeros </t>
  </si>
  <si>
    <t>Segundos Platos</t>
  </si>
  <si>
    <t>Promedio de Nº ingredientes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</si>
</sst>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[$-F800]dddd\,\ mmmm\ dd\,\ yyyy"/>
    <numFmt numFmtId="165" formatCode="_-* #,##0.00\ [$€-C0A]_-;\-* #,##0.00\ [$€-C0A]_-;_-* &quot;-&quot;??\ [$€-C0A]_-;_-@_-"/>
    <numFmt numFmtId="166" formatCode="#,##0.00\ &quot;€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164" fontId="0" fillId="0" borderId="2" xfId="0" applyNumberFormat="1" applyBorder="1"/>
    <xf numFmtId="0" fontId="0" fillId="0" borderId="10" xfId="0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3" fillId="0" borderId="3" xfId="0" applyFont="1" applyBorder="1"/>
    <xf numFmtId="0" fontId="3" fillId="0" borderId="0" xfId="0" applyFont="1" applyBorder="1" applyAlignment="1">
      <alignment horizontal="center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7" xfId="0" applyFont="1" applyBorder="1" applyAlignment="1">
      <alignment horizontal="right"/>
    </xf>
    <xf numFmtId="0" fontId="2" fillId="2" borderId="0" xfId="0" applyFont="1" applyFill="1" applyBorder="1"/>
    <xf numFmtId="165" fontId="0" fillId="0" borderId="0" xfId="0" applyNumberFormat="1" applyAlignment="1">
      <alignment horizontal="right"/>
    </xf>
    <xf numFmtId="0" fontId="2" fillId="2" borderId="14" xfId="0" applyFont="1" applyFill="1" applyBorder="1"/>
    <xf numFmtId="0" fontId="3" fillId="3" borderId="13" xfId="0" applyFont="1" applyFill="1" applyBorder="1" applyAlignment="1">
      <alignment horizontal="center"/>
    </xf>
    <xf numFmtId="0" fontId="3" fillId="3" borderId="13" xfId="0" applyFont="1" applyFill="1" applyBorder="1"/>
    <xf numFmtId="0" fontId="3" fillId="3" borderId="13" xfId="0" applyNumberFormat="1" applyFont="1" applyFill="1" applyBorder="1"/>
    <xf numFmtId="0" fontId="3" fillId="0" borderId="13" xfId="0" applyFont="1" applyBorder="1" applyAlignment="1">
      <alignment horizontal="center"/>
    </xf>
    <xf numFmtId="0" fontId="3" fillId="0" borderId="13" xfId="0" applyFont="1" applyBorder="1"/>
    <xf numFmtId="0" fontId="3" fillId="0" borderId="13" xfId="0" applyNumberFormat="1" applyFont="1" applyBorder="1"/>
    <xf numFmtId="0" fontId="3" fillId="3" borderId="13" xfId="0" applyFont="1" applyFill="1" applyBorder="1" applyProtection="1">
      <protection locked="0"/>
    </xf>
    <xf numFmtId="0" fontId="3" fillId="0" borderId="13" xfId="0" applyFont="1" applyBorder="1" applyProtection="1">
      <protection locked="0"/>
    </xf>
    <xf numFmtId="44" fontId="3" fillId="3" borderId="12" xfId="1" applyFont="1" applyFill="1" applyBorder="1" applyProtection="1">
      <protection hidden="1"/>
    </xf>
    <xf numFmtId="166" fontId="3" fillId="3" borderId="13" xfId="0" applyNumberFormat="1" applyFont="1" applyFill="1" applyBorder="1" applyProtection="1">
      <protection hidden="1"/>
    </xf>
    <xf numFmtId="166" fontId="3" fillId="0" borderId="13" xfId="0" applyNumberFormat="1" applyFont="1" applyBorder="1" applyProtection="1">
      <protection hidden="1"/>
    </xf>
    <xf numFmtId="0" fontId="0" fillId="0" borderId="0" xfId="0" applyFont="1" applyProtection="1">
      <protection hidden="1"/>
    </xf>
    <xf numFmtId="0" fontId="0" fillId="3" borderId="14" xfId="0" applyFont="1" applyFill="1" applyBorder="1" applyProtection="1">
      <protection hidden="1"/>
    </xf>
    <xf numFmtId="2" fontId="0" fillId="3" borderId="0" xfId="0" applyNumberFormat="1" applyFont="1" applyFill="1" applyBorder="1" applyProtection="1">
      <protection hidden="1"/>
    </xf>
    <xf numFmtId="0" fontId="0" fillId="3" borderId="0" xfId="0" applyFont="1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5" fillId="4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/>
      </font>
    </dxf>
    <dxf>
      <font>
        <b val="0"/>
      </font>
      <protection locked="1" hidden="1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excel.xlsm]Tabla dinamica recetas!TablaDinámica7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 dinamica recetas'!$F$5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 dinamica recetas'!$E$6:$E$23</c:f>
              <c:multiLvlStrCache>
                <c:ptCount val="14"/>
                <c:lvl>
                  <c:pt idx="0">
                    <c:v>Crema de guisantes</c:v>
                  </c:pt>
                  <c:pt idx="1">
                    <c:v>Flan de huevo</c:v>
                  </c:pt>
                  <c:pt idx="2">
                    <c:v>Gazpacho a la antigua</c:v>
                  </c:pt>
                  <c:pt idx="3">
                    <c:v>Tarta de queso</c:v>
                  </c:pt>
                  <c:pt idx="4">
                    <c:v>Arroz de espárragos y alcachofas</c:v>
                  </c:pt>
                  <c:pt idx="5">
                    <c:v>Brandada de bacalao</c:v>
                  </c:pt>
                  <c:pt idx="6">
                    <c:v>Cordero al horno</c:v>
                  </c:pt>
                  <c:pt idx="7">
                    <c:v>Huevos al colchón</c:v>
                  </c:pt>
                  <c:pt idx="8">
                    <c:v>Panettone</c:v>
                  </c:pt>
                  <c:pt idx="9">
                    <c:v>Ensalada César</c:v>
                  </c:pt>
                  <c:pt idx="10">
                    <c:v>Ensaladilla rusa</c:v>
                  </c:pt>
                  <c:pt idx="11">
                    <c:v>Marmitako</c:v>
                  </c:pt>
                  <c:pt idx="12">
                    <c:v>Pasta con sardinas y piñones</c:v>
                  </c:pt>
                  <c:pt idx="13">
                    <c:v>Sopa de ajo y variaciones</c:v>
                  </c:pt>
                </c:lvl>
                <c:lvl>
                  <c:pt idx="0">
                    <c:v>entrantes y primeros</c:v>
                  </c:pt>
                  <c:pt idx="4">
                    <c:v>postres</c:v>
                  </c:pt>
                  <c:pt idx="9">
                    <c:v>segundos platos</c:v>
                  </c:pt>
                </c:lvl>
              </c:multiLvlStrCache>
            </c:multiLvlStrRef>
          </c:cat>
          <c:val>
            <c:numRef>
              <c:f>'Tabla dinamica recetas'!$F$6:$F$23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5</c:v>
                </c:pt>
                <c:pt idx="6">
                  <c:v>8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7</c:v>
                </c:pt>
                <c:pt idx="12">
                  <c:v>5</c:v>
                </c:pt>
                <c:pt idx="1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7-4B21-81F3-C0CAFA652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21255231"/>
        <c:axId val="221249823"/>
      </c:barChart>
      <c:catAx>
        <c:axId val="221255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1249823"/>
        <c:crosses val="autoZero"/>
        <c:auto val="1"/>
        <c:lblAlgn val="ctr"/>
        <c:lblOffset val="100"/>
        <c:noMultiLvlLbl val="0"/>
      </c:catAx>
      <c:valAx>
        <c:axId val="221249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125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Nº</a:t>
            </a:r>
            <a:r>
              <a:rPr lang="es-ES" baseline="0"/>
              <a:t> ingredientes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recetas!$B$7:$B$20</c:f>
              <c:strCache>
                <c:ptCount val="14"/>
                <c:pt idx="0">
                  <c:v>Brandada de bacalao</c:v>
                </c:pt>
                <c:pt idx="1">
                  <c:v>Sopa de ajo y variaciones</c:v>
                </c:pt>
                <c:pt idx="2">
                  <c:v>Ensaladilla rusa</c:v>
                </c:pt>
                <c:pt idx="3">
                  <c:v>Gazpacho a la antigua</c:v>
                </c:pt>
                <c:pt idx="4">
                  <c:v>Crema de guisantes</c:v>
                </c:pt>
                <c:pt idx="5">
                  <c:v>Ensalada César</c:v>
                </c:pt>
                <c:pt idx="6">
                  <c:v>Marmitako</c:v>
                </c:pt>
                <c:pt idx="7">
                  <c:v>Cordero al horno</c:v>
                </c:pt>
                <c:pt idx="8">
                  <c:v>Arroz de espárragos y alcachofas</c:v>
                </c:pt>
                <c:pt idx="9">
                  <c:v>Pasta con sardinas y piñones</c:v>
                </c:pt>
                <c:pt idx="10">
                  <c:v>Huevos al colchón</c:v>
                </c:pt>
                <c:pt idx="11">
                  <c:v>Tarta de queso</c:v>
                </c:pt>
                <c:pt idx="12">
                  <c:v>Panettone</c:v>
                </c:pt>
                <c:pt idx="13">
                  <c:v>Flan de huevo</c:v>
                </c:pt>
              </c:strCache>
            </c:strRef>
          </c:cat>
          <c:val>
            <c:numRef>
              <c:f>recetas!$C$7:$C$20</c:f>
              <c:numCache>
                <c:formatCode>General</c:formatCode>
                <c:ptCount val="14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7</c:v>
                </c:pt>
                <c:pt idx="7">
                  <c:v>8</c:v>
                </c:pt>
                <c:pt idx="8">
                  <c:v>6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7-474F-8349-53850191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45551"/>
        <c:axId val="137753871"/>
      </c:barChart>
      <c:catAx>
        <c:axId val="13774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753871"/>
        <c:crosses val="autoZero"/>
        <c:auto val="1"/>
        <c:lblAlgn val="ctr"/>
        <c:lblOffset val="100"/>
        <c:noMultiLvlLbl val="0"/>
      </c:catAx>
      <c:valAx>
        <c:axId val="13775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74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47628</xdr:colOff>
      <xdr:row>0</xdr:row>
      <xdr:rowOff>57150</xdr:rowOff>
    </xdr:from>
    <xdr:to>
      <xdr:col>6</xdr:col>
      <xdr:colOff>209550</xdr:colOff>
      <xdr:row>24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5</xdr:row>
      <xdr:rowOff>76200</xdr:rowOff>
    </xdr:from>
    <xdr:to>
      <xdr:col>12</xdr:col>
      <xdr:colOff>447675</xdr:colOff>
      <xdr:row>19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7</xdr:row>
          <xdr:rowOff>47625</xdr:rowOff>
        </xdr:from>
        <xdr:to>
          <xdr:col>10</xdr:col>
          <xdr:colOff>371475</xdr:colOff>
          <xdr:row>12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Recetas negrita</a:t>
              </a:r>
              <a:endParaRPr lang="es-E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amen%20exce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622.393301041666" createdVersion="6" refreshedVersion="6" minRefreshableVersion="3" recordCount="14">
  <cacheSource type="worksheet">
    <worksheetSource name="Tabla1" r:id="rId2"/>
  </cacheSource>
  <cacheFields count="4">
    <cacheField name="Número receta" numFmtId="0">
      <sharedItems containsSemiMixedTypes="0" containsString="0" containsNumber="1" containsInteger="1" minValue="1" maxValue="14"/>
    </cacheField>
    <cacheField name="Receta" numFmtId="0">
      <sharedItems count="14">
        <s v="Brandada de bacalao"/>
        <s v="Sopa de ajo y variaciones"/>
        <s v="Ensaladilla rusa"/>
        <s v="Gazpacho a la antigua"/>
        <s v="Crema de guisantes"/>
        <s v="Ensalada César"/>
        <s v="Marmitako"/>
        <s v="Cordero al horno"/>
        <s v="Arroz de espárragos y alcachofas"/>
        <s v="Pasta con sardinas y piñones"/>
        <s v="Huevos al colchón"/>
        <s v="Tarta de queso"/>
        <s v="Panettone"/>
        <s v="Flan de huevo"/>
      </sharedItems>
    </cacheField>
    <cacheField name="Nº ingredientes" numFmtId="0">
      <sharedItems containsSemiMixedTypes="0" containsString="0" containsNumber="1" containsInteger="1" minValue="2" maxValue="8" count="7">
        <n v="5"/>
        <n v="7"/>
        <n v="3"/>
        <n v="4"/>
        <n v="2"/>
        <n v="8"/>
        <n v="6"/>
      </sharedItems>
    </cacheField>
    <cacheField name="Tipo" numFmtId="0">
      <sharedItems count="3">
        <s v="postres"/>
        <s v="segundos platos"/>
        <s v="entrantes y primero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n v="1"/>
    <x v="0"/>
    <x v="0"/>
    <x v="0"/>
  </r>
  <r>
    <n v="2"/>
    <x v="1"/>
    <x v="1"/>
    <x v="1"/>
  </r>
  <r>
    <n v="3"/>
    <x v="2"/>
    <x v="2"/>
    <x v="1"/>
  </r>
  <r>
    <n v="4"/>
    <x v="3"/>
    <x v="3"/>
    <x v="2"/>
  </r>
  <r>
    <n v="5"/>
    <x v="4"/>
    <x v="4"/>
    <x v="2"/>
  </r>
  <r>
    <n v="6"/>
    <x v="5"/>
    <x v="0"/>
    <x v="1"/>
  </r>
  <r>
    <n v="7"/>
    <x v="6"/>
    <x v="1"/>
    <x v="1"/>
  </r>
  <r>
    <n v="8"/>
    <x v="7"/>
    <x v="5"/>
    <x v="0"/>
  </r>
  <r>
    <n v="9"/>
    <x v="8"/>
    <x v="6"/>
    <x v="0"/>
  </r>
  <r>
    <n v="10"/>
    <x v="9"/>
    <x v="0"/>
    <x v="1"/>
  </r>
  <r>
    <n v="11"/>
    <x v="10"/>
    <x v="2"/>
    <x v="0"/>
  </r>
  <r>
    <n v="12"/>
    <x v="11"/>
    <x v="2"/>
    <x v="2"/>
  </r>
  <r>
    <n v="13"/>
    <x v="12"/>
    <x v="3"/>
    <x v="0"/>
  </r>
  <r>
    <n v="14"/>
    <x v="13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E5:F23" firstHeaderRow="1" firstDataRow="1" firstDataCol="1"/>
  <pivotFields count="4">
    <pivotField showAll="0"/>
    <pivotField axis="axisRow" showAll="0">
      <items count="15">
        <item x="8"/>
        <item x="0"/>
        <item x="7"/>
        <item x="4"/>
        <item x="5"/>
        <item x="2"/>
        <item x="13"/>
        <item x="3"/>
        <item x="10"/>
        <item x="6"/>
        <item x="12"/>
        <item x="9"/>
        <item x="1"/>
        <item x="11"/>
        <item t="default"/>
      </items>
    </pivotField>
    <pivotField dataField="1" showAll="0">
      <items count="8">
        <item x="4"/>
        <item x="2"/>
        <item x="3"/>
        <item x="0"/>
        <item x="6"/>
        <item x="1"/>
        <item x="5"/>
        <item t="default"/>
      </items>
    </pivotField>
    <pivotField axis="axisRow" showAll="0">
      <items count="4">
        <item x="2"/>
        <item x="0"/>
        <item x="1"/>
        <item t="default"/>
      </items>
    </pivotField>
  </pivotFields>
  <rowFields count="2">
    <field x="3"/>
    <field x="1"/>
  </rowFields>
  <rowItems count="18">
    <i>
      <x/>
    </i>
    <i r="1">
      <x v="3"/>
    </i>
    <i r="1">
      <x v="6"/>
    </i>
    <i r="1">
      <x v="7"/>
    </i>
    <i r="1">
      <x v="13"/>
    </i>
    <i>
      <x v="1"/>
    </i>
    <i r="1">
      <x/>
    </i>
    <i r="1">
      <x v="1"/>
    </i>
    <i r="1">
      <x v="2"/>
    </i>
    <i r="1">
      <x v="8"/>
    </i>
    <i r="1">
      <x v="10"/>
    </i>
    <i>
      <x v="2"/>
    </i>
    <i r="1">
      <x v="4"/>
    </i>
    <i r="1">
      <x v="5"/>
    </i>
    <i r="1">
      <x v="9"/>
    </i>
    <i r="1">
      <x v="11"/>
    </i>
    <i r="1">
      <x v="12"/>
    </i>
    <i t="grand">
      <x/>
    </i>
  </rowItems>
  <colItems count="1">
    <i/>
  </colItems>
  <dataFields count="1">
    <dataField name="Promedio de Nº ingredientes" fld="2" subtotal="average" baseField="3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21" firstHeaderRow="1" firstDataRow="1" firstDataCol="1"/>
  <pivotFields count="4">
    <pivotField showAll="0"/>
    <pivotField axis="axisRow" showAll="0">
      <items count="15">
        <item x="8"/>
        <item x="0"/>
        <item x="7"/>
        <item x="4"/>
        <item x="5"/>
        <item x="2"/>
        <item x="13"/>
        <item x="3"/>
        <item x="10"/>
        <item x="6"/>
        <item x="12"/>
        <item x="9"/>
        <item x="1"/>
        <item x="11"/>
        <item t="default"/>
      </items>
    </pivotField>
    <pivotField dataField="1" showAll="0"/>
    <pivotField axis="axisRow" showAll="0">
      <items count="4">
        <item x="2"/>
        <item x="0"/>
        <item x="1"/>
        <item t="default"/>
      </items>
    </pivotField>
  </pivotFields>
  <rowFields count="2">
    <field x="3"/>
    <field x="1"/>
  </rowFields>
  <rowItems count="18">
    <i>
      <x/>
    </i>
    <i r="1">
      <x v="3"/>
    </i>
    <i r="1">
      <x v="6"/>
    </i>
    <i r="1">
      <x v="7"/>
    </i>
    <i r="1">
      <x v="13"/>
    </i>
    <i>
      <x v="1"/>
    </i>
    <i r="1">
      <x/>
    </i>
    <i r="1">
      <x v="1"/>
    </i>
    <i r="1">
      <x v="2"/>
    </i>
    <i r="1">
      <x v="8"/>
    </i>
    <i r="1">
      <x v="10"/>
    </i>
    <i>
      <x v="2"/>
    </i>
    <i r="1">
      <x v="4"/>
    </i>
    <i r="1">
      <x v="5"/>
    </i>
    <i r="1">
      <x v="9"/>
    </i>
    <i r="1">
      <x v="11"/>
    </i>
    <i r="1">
      <x v="12"/>
    </i>
    <i t="grand">
      <x/>
    </i>
  </rowItems>
  <colItems count="1">
    <i/>
  </colItems>
  <dataFields count="1">
    <dataField name="Promedio de Nº ingredientes" fld="2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6:D21" totalsRowCount="1">
  <autoFilter ref="A6:D20"/>
  <tableColumns count="4">
    <tableColumn id="1" name="Número receta" totalsRowLabel="Total" dataDxfId="20"/>
    <tableColumn id="2" name="Receta" totalsRowFunction="count"/>
    <tableColumn id="3" name="Nº ingredientes" totalsRowFunction="average" dataDxfId="19"/>
    <tableColumn id="4" name="Tip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6:G21" totalsRowCount="1" headerRowDxfId="17" dataDxfId="16" totalsRowDxfId="14" tableBorderDxfId="15">
  <autoFilter ref="A6:G20"/>
  <tableColumns count="7">
    <tableColumn id="1" name="Número receta" totalsRowLabel="Total" dataDxfId="13" totalsRowDxfId="12"/>
    <tableColumn id="2" name="Receta" totalsRowFunction="count" dataDxfId="11" totalsRowDxfId="10"/>
    <tableColumn id="3" name="Nº ingredientes" totalsRowFunction="average" dataDxfId="9" totalsRowDxfId="8"/>
    <tableColumn id="4" name="Tipo" dataDxfId="7" totalsRowDxfId="6"/>
    <tableColumn id="5" name="Precio " dataDxfId="5" totalsRowDxfId="4">
      <calculatedColumnFormula>IF(Tabla5[[#This Row],[Tipo]]="postres",I3,IF(Tabla5[[#This Row],[Tipo]]="entrantes y primeros",I1,IF(Tabla5[[#This Row],[Tipo]]="segundos platos",I2)))</calculatedColumnFormula>
    </tableColumn>
    <tableColumn id="6" name="Pedidos" totalsRowFunction="average" dataDxfId="3" totalsRowDxfId="2"/>
    <tableColumn id="7" name="Total" dataDxfId="1" totalsRowDxfId="0">
      <calculatedColumnFormula>IF(Tabla5[[#This Row],[Pedidos]]=0,"No hay pedidos",Tabla5[[#This Row],[Pedidos]]*Tabla5[[#This Row],[Precio 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B1" sqref="B1"/>
    </sheetView>
  </sheetViews>
  <sheetFormatPr baseColWidth="10" defaultRowHeight="15" x14ac:dyDescent="0.25"/>
  <cols>
    <col min="1" max="1" width="19.5703125" bestFit="1" customWidth="1"/>
  </cols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3"/>
  <sheetViews>
    <sheetView workbookViewId="0">
      <selection activeCell="H18" sqref="H18"/>
    </sheetView>
  </sheetViews>
  <sheetFormatPr baseColWidth="10" defaultRowHeight="15" x14ac:dyDescent="0.25"/>
  <cols>
    <col min="1" max="1" width="33.5703125" bestFit="1" customWidth="1"/>
    <col min="2" max="2" width="27.42578125" bestFit="1" customWidth="1"/>
    <col min="5" max="5" width="33.5703125" customWidth="1"/>
    <col min="6" max="6" width="27.42578125" bestFit="1" customWidth="1"/>
    <col min="7" max="7" width="16.5703125" bestFit="1" customWidth="1"/>
  </cols>
  <sheetData>
    <row r="3" spans="1:6" x14ac:dyDescent="0.25">
      <c r="A3" s="38" t="s">
        <v>21</v>
      </c>
      <c r="B3" t="s">
        <v>40</v>
      </c>
    </row>
    <row r="4" spans="1:6" x14ac:dyDescent="0.25">
      <c r="A4" s="39" t="s">
        <v>10</v>
      </c>
      <c r="B4" s="41">
        <v>3</v>
      </c>
    </row>
    <row r="5" spans="1:6" x14ac:dyDescent="0.25">
      <c r="A5" s="40" t="s">
        <v>8</v>
      </c>
      <c r="B5" s="41">
        <v>2</v>
      </c>
      <c r="E5" s="38" t="s">
        <v>21</v>
      </c>
      <c r="F5" t="s">
        <v>40</v>
      </c>
    </row>
    <row r="6" spans="1:6" x14ac:dyDescent="0.25">
      <c r="A6" s="40" t="s">
        <v>19</v>
      </c>
      <c r="B6" s="41">
        <v>3</v>
      </c>
      <c r="E6" s="39" t="s">
        <v>10</v>
      </c>
      <c r="F6" s="41">
        <v>3</v>
      </c>
    </row>
    <row r="7" spans="1:6" x14ac:dyDescent="0.25">
      <c r="A7" s="40" t="s">
        <v>7</v>
      </c>
      <c r="B7" s="41">
        <v>4</v>
      </c>
      <c r="E7" s="40" t="s">
        <v>8</v>
      </c>
      <c r="F7" s="41">
        <v>2</v>
      </c>
    </row>
    <row r="8" spans="1:6" x14ac:dyDescent="0.25">
      <c r="A8" s="40" t="s">
        <v>17</v>
      </c>
      <c r="B8" s="41">
        <v>3</v>
      </c>
      <c r="E8" s="40" t="s">
        <v>19</v>
      </c>
      <c r="F8" s="41">
        <v>3</v>
      </c>
    </row>
    <row r="9" spans="1:6" x14ac:dyDescent="0.25">
      <c r="A9" s="39" t="s">
        <v>20</v>
      </c>
      <c r="B9" s="41">
        <v>5.2</v>
      </c>
      <c r="E9" s="40" t="s">
        <v>7</v>
      </c>
      <c r="F9" s="41">
        <v>4</v>
      </c>
    </row>
    <row r="10" spans="1:6" x14ac:dyDescent="0.25">
      <c r="A10" s="40" t="s">
        <v>14</v>
      </c>
      <c r="B10" s="41">
        <v>6</v>
      </c>
      <c r="E10" s="40" t="s">
        <v>17</v>
      </c>
      <c r="F10" s="41">
        <v>3</v>
      </c>
    </row>
    <row r="11" spans="1:6" x14ac:dyDescent="0.25">
      <c r="A11" s="40" t="s">
        <v>1</v>
      </c>
      <c r="B11" s="41">
        <v>5</v>
      </c>
      <c r="E11" s="39" t="s">
        <v>20</v>
      </c>
      <c r="F11" s="41">
        <v>5.2</v>
      </c>
    </row>
    <row r="12" spans="1:6" x14ac:dyDescent="0.25">
      <c r="A12" s="40" t="s">
        <v>13</v>
      </c>
      <c r="B12" s="41">
        <v>8</v>
      </c>
      <c r="E12" s="40" t="s">
        <v>14</v>
      </c>
      <c r="F12" s="41">
        <v>6</v>
      </c>
    </row>
    <row r="13" spans="1:6" x14ac:dyDescent="0.25">
      <c r="A13" s="40" t="s">
        <v>16</v>
      </c>
      <c r="B13" s="41">
        <v>3</v>
      </c>
      <c r="E13" s="40" t="s">
        <v>1</v>
      </c>
      <c r="F13" s="41">
        <v>5</v>
      </c>
    </row>
    <row r="14" spans="1:6" x14ac:dyDescent="0.25">
      <c r="A14" s="40" t="s">
        <v>18</v>
      </c>
      <c r="B14" s="41">
        <v>4</v>
      </c>
      <c r="E14" s="40" t="s">
        <v>13</v>
      </c>
      <c r="F14" s="41">
        <v>8</v>
      </c>
    </row>
    <row r="15" spans="1:6" x14ac:dyDescent="0.25">
      <c r="A15" s="39" t="s">
        <v>11</v>
      </c>
      <c r="B15" s="41">
        <v>5.4</v>
      </c>
      <c r="E15" s="40" t="s">
        <v>16</v>
      </c>
      <c r="F15" s="41">
        <v>3</v>
      </c>
    </row>
    <row r="16" spans="1:6" x14ac:dyDescent="0.25">
      <c r="A16" s="40" t="s">
        <v>9</v>
      </c>
      <c r="B16" s="41">
        <v>5</v>
      </c>
      <c r="E16" s="40" t="s">
        <v>18</v>
      </c>
      <c r="F16" s="41">
        <v>4</v>
      </c>
    </row>
    <row r="17" spans="1:6" x14ac:dyDescent="0.25">
      <c r="A17" s="40" t="s">
        <v>6</v>
      </c>
      <c r="B17" s="41">
        <v>3</v>
      </c>
      <c r="E17" s="39" t="s">
        <v>11</v>
      </c>
      <c r="F17" s="41">
        <v>5.4</v>
      </c>
    </row>
    <row r="18" spans="1:6" x14ac:dyDescent="0.25">
      <c r="A18" s="40" t="s">
        <v>12</v>
      </c>
      <c r="B18" s="41">
        <v>7</v>
      </c>
      <c r="E18" s="40" t="s">
        <v>9</v>
      </c>
      <c r="F18" s="41">
        <v>5</v>
      </c>
    </row>
    <row r="19" spans="1:6" x14ac:dyDescent="0.25">
      <c r="A19" s="40" t="s">
        <v>15</v>
      </c>
      <c r="B19" s="41">
        <v>5</v>
      </c>
      <c r="E19" s="40" t="s">
        <v>6</v>
      </c>
      <c r="F19" s="41">
        <v>3</v>
      </c>
    </row>
    <row r="20" spans="1:6" x14ac:dyDescent="0.25">
      <c r="A20" s="40" t="s">
        <v>5</v>
      </c>
      <c r="B20" s="41">
        <v>7</v>
      </c>
      <c r="E20" s="40" t="s">
        <v>12</v>
      </c>
      <c r="F20" s="41">
        <v>7</v>
      </c>
    </row>
    <row r="21" spans="1:6" x14ac:dyDescent="0.25">
      <c r="A21" s="39" t="s">
        <v>22</v>
      </c>
      <c r="B21" s="41">
        <v>4.6428571428571432</v>
      </c>
      <c r="E21" s="40" t="s">
        <v>15</v>
      </c>
      <c r="F21" s="41">
        <v>5</v>
      </c>
    </row>
    <row r="22" spans="1:6" x14ac:dyDescent="0.25">
      <c r="E22" s="40" t="s">
        <v>5</v>
      </c>
      <c r="F22" s="41">
        <v>7</v>
      </c>
    </row>
    <row r="23" spans="1:6" x14ac:dyDescent="0.25">
      <c r="E23" s="39" t="s">
        <v>22</v>
      </c>
      <c r="F23" s="41">
        <v>4.6428571428571432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21"/>
  <sheetViews>
    <sheetView workbookViewId="0">
      <selection activeCell="D10" sqref="D10"/>
    </sheetView>
  </sheetViews>
  <sheetFormatPr baseColWidth="10" defaultColWidth="9.140625" defaultRowHeight="15" x14ac:dyDescent="0.25"/>
  <cols>
    <col min="1" max="1" width="16.42578125" customWidth="1"/>
    <col min="2" max="2" width="29.85546875" bestFit="1" customWidth="1"/>
    <col min="3" max="3" width="17.28515625" customWidth="1"/>
    <col min="4" max="4" width="19.5703125" bestFit="1" customWidth="1"/>
  </cols>
  <sheetData>
    <row r="2" spans="1:4" x14ac:dyDescent="0.25">
      <c r="A2" s="42" t="s">
        <v>23</v>
      </c>
      <c r="B2" s="42"/>
      <c r="C2" s="42"/>
      <c r="D2" s="42"/>
    </row>
    <row r="3" spans="1:4" x14ac:dyDescent="0.25">
      <c r="A3" s="42"/>
      <c r="B3" s="42"/>
      <c r="C3" s="42"/>
      <c r="D3" s="42"/>
    </row>
    <row r="6" spans="1:4" x14ac:dyDescent="0.25">
      <c r="A6" t="s">
        <v>0</v>
      </c>
      <c r="B6" t="s">
        <v>2</v>
      </c>
      <c r="C6" t="s">
        <v>3</v>
      </c>
      <c r="D6" t="s">
        <v>4</v>
      </c>
    </row>
    <row r="7" spans="1:4" x14ac:dyDescent="0.25">
      <c r="A7" s="1">
        <v>1</v>
      </c>
      <c r="B7" t="s">
        <v>1</v>
      </c>
      <c r="C7" s="1">
        <v>5</v>
      </c>
      <c r="D7" t="s">
        <v>20</v>
      </c>
    </row>
    <row r="8" spans="1:4" x14ac:dyDescent="0.25">
      <c r="A8" s="1">
        <v>2</v>
      </c>
      <c r="B8" t="s">
        <v>5</v>
      </c>
      <c r="C8" s="1">
        <v>7</v>
      </c>
      <c r="D8" t="s">
        <v>11</v>
      </c>
    </row>
    <row r="9" spans="1:4" x14ac:dyDescent="0.25">
      <c r="A9" s="1">
        <v>3</v>
      </c>
      <c r="B9" t="s">
        <v>6</v>
      </c>
      <c r="C9" s="1">
        <v>3</v>
      </c>
      <c r="D9" t="s">
        <v>11</v>
      </c>
    </row>
    <row r="10" spans="1:4" x14ac:dyDescent="0.25">
      <c r="A10" s="1">
        <v>4</v>
      </c>
      <c r="B10" t="s">
        <v>7</v>
      </c>
      <c r="C10" s="1">
        <v>4</v>
      </c>
      <c r="D10" t="s">
        <v>10</v>
      </c>
    </row>
    <row r="11" spans="1:4" x14ac:dyDescent="0.25">
      <c r="A11" s="1">
        <v>5</v>
      </c>
      <c r="B11" t="s">
        <v>8</v>
      </c>
      <c r="C11" s="1">
        <v>2</v>
      </c>
      <c r="D11" t="s">
        <v>10</v>
      </c>
    </row>
    <row r="12" spans="1:4" x14ac:dyDescent="0.25">
      <c r="A12" s="1">
        <v>6</v>
      </c>
      <c r="B12" t="s">
        <v>9</v>
      </c>
      <c r="C12" s="1">
        <v>5</v>
      </c>
      <c r="D12" t="s">
        <v>11</v>
      </c>
    </row>
    <row r="13" spans="1:4" x14ac:dyDescent="0.25">
      <c r="A13" s="1">
        <v>7</v>
      </c>
      <c r="B13" t="s">
        <v>12</v>
      </c>
      <c r="C13" s="1">
        <v>7</v>
      </c>
      <c r="D13" t="s">
        <v>11</v>
      </c>
    </row>
    <row r="14" spans="1:4" x14ac:dyDescent="0.25">
      <c r="A14" s="1">
        <v>8</v>
      </c>
      <c r="B14" t="s">
        <v>13</v>
      </c>
      <c r="C14" s="1">
        <v>8</v>
      </c>
      <c r="D14" t="s">
        <v>20</v>
      </c>
    </row>
    <row r="15" spans="1:4" x14ac:dyDescent="0.25">
      <c r="A15" s="1">
        <v>9</v>
      </c>
      <c r="B15" t="s">
        <v>14</v>
      </c>
      <c r="C15" s="1">
        <v>6</v>
      </c>
      <c r="D15" t="s">
        <v>20</v>
      </c>
    </row>
    <row r="16" spans="1:4" x14ac:dyDescent="0.25">
      <c r="A16" s="1">
        <v>10</v>
      </c>
      <c r="B16" t="s">
        <v>15</v>
      </c>
      <c r="C16" s="1">
        <v>5</v>
      </c>
      <c r="D16" t="s">
        <v>11</v>
      </c>
    </row>
    <row r="17" spans="1:4" x14ac:dyDescent="0.25">
      <c r="A17" s="1">
        <v>11</v>
      </c>
      <c r="B17" t="s">
        <v>16</v>
      </c>
      <c r="C17" s="1">
        <v>3</v>
      </c>
      <c r="D17" t="s">
        <v>20</v>
      </c>
    </row>
    <row r="18" spans="1:4" x14ac:dyDescent="0.25">
      <c r="A18" s="1">
        <v>12</v>
      </c>
      <c r="B18" t="s">
        <v>17</v>
      </c>
      <c r="C18" s="1">
        <v>3</v>
      </c>
      <c r="D18" t="s">
        <v>10</v>
      </c>
    </row>
    <row r="19" spans="1:4" x14ac:dyDescent="0.25">
      <c r="A19" s="1">
        <v>13</v>
      </c>
      <c r="B19" t="s">
        <v>18</v>
      </c>
      <c r="C19" s="1">
        <v>4</v>
      </c>
      <c r="D19" t="s">
        <v>20</v>
      </c>
    </row>
    <row r="20" spans="1:4" x14ac:dyDescent="0.25">
      <c r="A20" s="1">
        <v>14</v>
      </c>
      <c r="B20" t="s">
        <v>19</v>
      </c>
      <c r="C20" s="1">
        <v>3</v>
      </c>
      <c r="D20" t="s">
        <v>10</v>
      </c>
    </row>
    <row r="21" spans="1:4" x14ac:dyDescent="0.25">
      <c r="A21" t="s">
        <v>24</v>
      </c>
      <c r="B21">
        <f>SUBTOTAL(103,Tabla1[Receta])</f>
        <v>14</v>
      </c>
      <c r="C21">
        <f>SUBTOTAL(101,Tabla1[Nº ingredientes])</f>
        <v>4.6428571428571432</v>
      </c>
    </row>
  </sheetData>
  <sheetProtection sheet="1" objects="1" scenarios="1"/>
  <mergeCells count="1">
    <mergeCell ref="A2:D3"/>
  </mergeCells>
  <dataValidations count="1">
    <dataValidation type="whole" allowBlank="1" showInputMessage="1" showErrorMessage="1" errorTitle="ERROR" error="SOLO SE PUEDEN INTRODUCIR NUMEROS POSITIVOS EN Nº DE INGREDIENTES_x000a_" sqref="C7:C20">
      <formula1>0</formula1>
      <formula2>9.99999999999999E+23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Hoja1!$A$1:$A$3</xm:f>
          </x14:formula1>
          <xm:sqref>D7:D20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.25"/>
  <cols>
    <col min="1" max="1" width="30.5703125" bestFit="1" customWidth="1"/>
    <col min="2" max="2" width="29.85546875" bestFit="1" customWidth="1"/>
    <col min="3" max="3" width="20.140625" bestFit="1" customWidth="1"/>
    <col min="4" max="4" width="19.5703125" bestFit="1" customWidth="1"/>
    <col min="5" max="5" width="12.28515625" bestFit="1" customWidth="1"/>
  </cols>
  <sheetData>
    <row r="1" spans="1:5" ht="16.5" thickTop="1" thickBot="1" x14ac:dyDescent="0.3">
      <c r="A1" s="2" t="s">
        <v>25</v>
      </c>
      <c r="B1" s="3">
        <f ca="1">TODAY()</f>
        <v>44623</v>
      </c>
    </row>
    <row r="2" spans="1:5" ht="16.5" thickTop="1" thickBot="1" x14ac:dyDescent="0.3"/>
    <row r="3" spans="1:5" ht="15.75" thickBot="1" x14ac:dyDescent="0.3">
      <c r="A3" s="14" t="s">
        <v>35</v>
      </c>
      <c r="B3" s="4"/>
      <c r="C3" s="4"/>
      <c r="D3" s="4"/>
      <c r="E3" s="4"/>
    </row>
    <row r="4" spans="1:5" x14ac:dyDescent="0.25">
      <c r="A4" s="5"/>
      <c r="B4" s="6"/>
      <c r="C4" s="6"/>
      <c r="D4" s="6"/>
      <c r="E4" s="7"/>
    </row>
    <row r="5" spans="1:5" x14ac:dyDescent="0.25">
      <c r="A5" s="19" t="s">
        <v>26</v>
      </c>
      <c r="B5" s="15">
        <f>COUNTIF(recetas!D7:D20,D5)</f>
        <v>5</v>
      </c>
      <c r="C5" s="15" t="s">
        <v>27</v>
      </c>
      <c r="D5" s="18" t="s">
        <v>20</v>
      </c>
      <c r="E5" s="13"/>
    </row>
    <row r="6" spans="1:5" x14ac:dyDescent="0.25">
      <c r="A6" s="11"/>
      <c r="B6" s="12"/>
      <c r="C6" s="12"/>
      <c r="D6" s="12"/>
      <c r="E6" s="13"/>
    </row>
    <row r="7" spans="1:5" x14ac:dyDescent="0.25">
      <c r="A7" s="19" t="s">
        <v>28</v>
      </c>
      <c r="B7" s="18" t="s">
        <v>18</v>
      </c>
      <c r="C7" s="15" t="s">
        <v>29</v>
      </c>
      <c r="D7" s="15" t="str">
        <f>VLOOKUP(B7,recetas!B7:D20,3,0)</f>
        <v>postres</v>
      </c>
      <c r="E7" s="13"/>
    </row>
    <row r="8" spans="1:5" x14ac:dyDescent="0.25">
      <c r="A8" s="11"/>
      <c r="B8" s="12"/>
      <c r="C8" s="12"/>
      <c r="D8" s="12"/>
      <c r="E8" s="13"/>
    </row>
    <row r="9" spans="1:5" x14ac:dyDescent="0.25">
      <c r="A9" s="19" t="s">
        <v>30</v>
      </c>
      <c r="B9" s="15"/>
      <c r="C9" s="15" t="s">
        <v>32</v>
      </c>
      <c r="D9" s="16">
        <v>5</v>
      </c>
      <c r="E9" s="17" t="s">
        <v>31</v>
      </c>
    </row>
    <row r="10" spans="1:5" x14ac:dyDescent="0.25">
      <c r="A10" s="19" t="s">
        <v>30</v>
      </c>
      <c r="B10" s="15"/>
      <c r="C10" s="15" t="s">
        <v>33</v>
      </c>
      <c r="D10" s="16">
        <v>5</v>
      </c>
      <c r="E10" s="17" t="s">
        <v>31</v>
      </c>
    </row>
    <row r="11" spans="1:5" x14ac:dyDescent="0.25">
      <c r="A11" s="19" t="s">
        <v>30</v>
      </c>
      <c r="B11" s="15">
        <f>COUNTIF(Tabla1[Nº ingredientes],D11)</f>
        <v>3</v>
      </c>
      <c r="C11" s="15" t="s">
        <v>34</v>
      </c>
      <c r="D11" s="16">
        <v>5</v>
      </c>
      <c r="E11" s="17" t="s">
        <v>31</v>
      </c>
    </row>
    <row r="12" spans="1:5" ht="15.75" thickBot="1" x14ac:dyDescent="0.3">
      <c r="A12" s="8"/>
      <c r="B12" s="9"/>
      <c r="C12" s="9"/>
      <c r="D12" s="9"/>
      <c r="E12" s="10"/>
    </row>
  </sheetData>
  <dataValidations count="1">
    <dataValidation type="whole" allowBlank="1" showInputMessage="1" showErrorMessage="1" sqref="D9:D11">
      <formula1>0</formula1>
      <formula2>9.99999999999999E+24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Hoja1!$A$1:$A$3</xm:f>
          </x14:formula1>
          <xm:sqref>D5</xm:sqref>
        </x14:dataValidation>
        <x14:dataValidation type="list" allowBlank="1" showInputMessage="1" showErrorMessage="1">
          <x14:formula1>
            <xm:f>recetas!$B$7:$B$20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1"/>
  <sheetViews>
    <sheetView tabSelected="1" topLeftCell="A4" workbookViewId="0">
      <selection activeCell="J6" sqref="J6"/>
    </sheetView>
  </sheetViews>
  <sheetFormatPr baseColWidth="10" defaultRowHeight="15" x14ac:dyDescent="0.25"/>
  <cols>
    <col min="1" max="1" width="16.42578125" customWidth="1"/>
    <col min="2" max="2" width="29.85546875" bestFit="1" customWidth="1"/>
    <col min="3" max="3" width="17.42578125" bestFit="1" customWidth="1"/>
    <col min="4" max="4" width="19.5703125" bestFit="1" customWidth="1"/>
    <col min="7" max="7" width="14.7109375" bestFit="1" customWidth="1"/>
    <col min="8" max="8" width="18.42578125" bestFit="1" customWidth="1"/>
  </cols>
  <sheetData>
    <row r="1" spans="1:9" x14ac:dyDescent="0.25">
      <c r="H1" t="s">
        <v>38</v>
      </c>
      <c r="I1" s="21">
        <v>4.5</v>
      </c>
    </row>
    <row r="2" spans="1:9" x14ac:dyDescent="0.25">
      <c r="A2" s="42" t="s">
        <v>23</v>
      </c>
      <c r="B2" s="42"/>
      <c r="C2" s="42"/>
      <c r="D2" s="42"/>
      <c r="H2" t="s">
        <v>39</v>
      </c>
      <c r="I2" s="21">
        <v>7.5</v>
      </c>
    </row>
    <row r="3" spans="1:9" x14ac:dyDescent="0.25">
      <c r="A3" s="42"/>
      <c r="B3" s="42"/>
      <c r="C3" s="42"/>
      <c r="D3" s="42"/>
      <c r="H3" t="s">
        <v>20</v>
      </c>
      <c r="I3" s="21">
        <v>3.5</v>
      </c>
    </row>
    <row r="6" spans="1:9" x14ac:dyDescent="0.25">
      <c r="A6" s="20" t="s">
        <v>0</v>
      </c>
      <c r="B6" s="20" t="s">
        <v>2</v>
      </c>
      <c r="C6" s="20" t="s">
        <v>3</v>
      </c>
      <c r="D6" s="20" t="s">
        <v>4</v>
      </c>
      <c r="E6" s="22" t="s">
        <v>36</v>
      </c>
      <c r="F6" s="20" t="s">
        <v>37</v>
      </c>
      <c r="G6" s="20" t="s">
        <v>24</v>
      </c>
    </row>
    <row r="7" spans="1:9" x14ac:dyDescent="0.25">
      <c r="A7" s="23">
        <v>1</v>
      </c>
      <c r="B7" s="24" t="s">
        <v>1</v>
      </c>
      <c r="C7" s="23">
        <v>5</v>
      </c>
      <c r="D7" s="25" t="s">
        <v>10</v>
      </c>
      <c r="E7" s="31">
        <f>IF(Tabla5[[#This Row],[Tipo]]="postres",$I$3,IF(Tabla5[[#This Row],[Tipo]]="entrantes y primeros",$I$1,IF(Tabla5[[#This Row],[Tipo]]="segundos platos",$I$2)))</f>
        <v>4.5</v>
      </c>
      <c r="F7" s="29">
        <v>0</v>
      </c>
      <c r="G7" s="32" t="str">
        <f>IF(Tabla5[[#This Row],[Pedidos]]=0,"No hay pedidos",Tabla5[[#This Row],[Pedidos]]*Tabla5[[#This Row],[Precio ]])</f>
        <v>No hay pedidos</v>
      </c>
    </row>
    <row r="8" spans="1:9" x14ac:dyDescent="0.25">
      <c r="A8" s="26">
        <v>2</v>
      </c>
      <c r="B8" s="27" t="s">
        <v>5</v>
      </c>
      <c r="C8" s="26">
        <v>7</v>
      </c>
      <c r="D8" s="28" t="s">
        <v>11</v>
      </c>
      <c r="E8" s="31">
        <f>IF(Tabla5[[#This Row],[Tipo]]="postres",$I$3,IF(Tabla5[[#This Row],[Tipo]]="entrantes y primeros",$I$1,IF(Tabla5[[#This Row],[Tipo]]="segundos platos",$I$2)))</f>
        <v>7.5</v>
      </c>
      <c r="F8" s="30">
        <v>9</v>
      </c>
      <c r="G8" s="33">
        <f>IF(Tabla5[[#This Row],[Pedidos]]=0,"No hay pedidos",Tabla5[[#This Row],[Pedidos]]*Tabla5[[#This Row],[Precio ]])</f>
        <v>67.5</v>
      </c>
    </row>
    <row r="9" spans="1:9" x14ac:dyDescent="0.25">
      <c r="A9" s="23">
        <v>3</v>
      </c>
      <c r="B9" s="24" t="s">
        <v>6</v>
      </c>
      <c r="C9" s="23">
        <v>3</v>
      </c>
      <c r="D9" s="25" t="s">
        <v>11</v>
      </c>
      <c r="E9" s="31">
        <f>IF(Tabla5[[#This Row],[Tipo]]="postres",$I$3,IF(Tabla5[[#This Row],[Tipo]]="entrantes y primeros",$I$1,IF(Tabla5[[#This Row],[Tipo]]="segundos platos",$I$2)))</f>
        <v>7.5</v>
      </c>
      <c r="F9" s="29">
        <v>6</v>
      </c>
      <c r="G9" s="32">
        <f>IF(Tabla5[[#This Row],[Pedidos]]=0,"No hay pedidos",Tabla5[[#This Row],[Pedidos]]*Tabla5[[#This Row],[Precio ]])</f>
        <v>45</v>
      </c>
    </row>
    <row r="10" spans="1:9" x14ac:dyDescent="0.25">
      <c r="A10" s="26">
        <v>4</v>
      </c>
      <c r="B10" s="27" t="s">
        <v>7</v>
      </c>
      <c r="C10" s="26">
        <v>4</v>
      </c>
      <c r="D10" s="28" t="s">
        <v>10</v>
      </c>
      <c r="E10" s="31">
        <f>IF(Tabla5[[#This Row],[Tipo]]="postres",$I$3,IF(Tabla5[[#This Row],[Tipo]]="entrantes y primeros",$I$1,IF(Tabla5[[#This Row],[Tipo]]="segundos platos",$I$2)))</f>
        <v>4.5</v>
      </c>
      <c r="F10" s="30">
        <v>4</v>
      </c>
      <c r="G10" s="33">
        <f>IF(Tabla5[[#This Row],[Pedidos]]=0,"No hay pedidos",Tabla5[[#This Row],[Pedidos]]*Tabla5[[#This Row],[Precio ]])</f>
        <v>18</v>
      </c>
    </row>
    <row r="11" spans="1:9" x14ac:dyDescent="0.25">
      <c r="A11" s="23">
        <v>5</v>
      </c>
      <c r="B11" s="24" t="s">
        <v>8</v>
      </c>
      <c r="C11" s="23">
        <v>2</v>
      </c>
      <c r="D11" s="25" t="s">
        <v>10</v>
      </c>
      <c r="E11" s="31">
        <f>IF(Tabla5[[#This Row],[Tipo]]="postres",$I$3,IF(Tabla5[[#This Row],[Tipo]]="entrantes y primeros",$I$1,IF(Tabla5[[#This Row],[Tipo]]="segundos platos",$I$2)))</f>
        <v>4.5</v>
      </c>
      <c r="F11" s="29">
        <v>2</v>
      </c>
      <c r="G11" s="32">
        <f>IF(Tabla5[[#This Row],[Pedidos]]=0,"No hay pedidos",Tabla5[[#This Row],[Pedidos]]*Tabla5[[#This Row],[Precio ]])</f>
        <v>9</v>
      </c>
    </row>
    <row r="12" spans="1:9" x14ac:dyDescent="0.25">
      <c r="A12" s="26">
        <v>6</v>
      </c>
      <c r="B12" s="27" t="s">
        <v>9</v>
      </c>
      <c r="C12" s="26">
        <v>5</v>
      </c>
      <c r="D12" s="28" t="s">
        <v>11</v>
      </c>
      <c r="E12" s="31">
        <f>IF(Tabla5[[#This Row],[Tipo]]="postres",$I$3,IF(Tabla5[[#This Row],[Tipo]]="entrantes y primeros",$I$1,IF(Tabla5[[#This Row],[Tipo]]="segundos platos",$I$2)))</f>
        <v>7.5</v>
      </c>
      <c r="F12" s="30">
        <v>4</v>
      </c>
      <c r="G12" s="33">
        <f>IF(Tabla5[[#This Row],[Pedidos]]=0,"No hay pedidos",Tabla5[[#This Row],[Pedidos]]*Tabla5[[#This Row],[Precio ]])</f>
        <v>30</v>
      </c>
    </row>
    <row r="13" spans="1:9" x14ac:dyDescent="0.25">
      <c r="A13" s="23">
        <v>7</v>
      </c>
      <c r="B13" s="24" t="s">
        <v>12</v>
      </c>
      <c r="C13" s="23">
        <v>7</v>
      </c>
      <c r="D13" s="25" t="s">
        <v>11</v>
      </c>
      <c r="E13" s="31">
        <f>IF(Tabla5[[#This Row],[Tipo]]="postres",$I$3,IF(Tabla5[[#This Row],[Tipo]]="entrantes y primeros",$I$1,IF(Tabla5[[#This Row],[Tipo]]="segundos platos",$I$2)))</f>
        <v>7.5</v>
      </c>
      <c r="F13" s="29">
        <v>0</v>
      </c>
      <c r="G13" s="32" t="str">
        <f>IF(Tabla5[[#This Row],[Pedidos]]=0,"No hay pedidos",Tabla5[[#This Row],[Pedidos]]*Tabla5[[#This Row],[Precio ]])</f>
        <v>No hay pedidos</v>
      </c>
    </row>
    <row r="14" spans="1:9" x14ac:dyDescent="0.25">
      <c r="A14" s="26">
        <v>8</v>
      </c>
      <c r="B14" s="27" t="s">
        <v>13</v>
      </c>
      <c r="C14" s="26">
        <v>8</v>
      </c>
      <c r="D14" s="28" t="s">
        <v>10</v>
      </c>
      <c r="E14" s="31">
        <f>IF(Tabla5[[#This Row],[Tipo]]="postres",$I$3,IF(Tabla5[[#This Row],[Tipo]]="entrantes y primeros",$I$1,IF(Tabla5[[#This Row],[Tipo]]="segundos platos",$I$2)))</f>
        <v>4.5</v>
      </c>
      <c r="F14" s="30">
        <v>6</v>
      </c>
      <c r="G14" s="33">
        <f>IF(Tabla5[[#This Row],[Pedidos]]=0,"No hay pedidos",Tabla5[[#This Row],[Pedidos]]*Tabla5[[#This Row],[Precio ]])</f>
        <v>27</v>
      </c>
    </row>
    <row r="15" spans="1:9" x14ac:dyDescent="0.25">
      <c r="A15" s="23">
        <v>9</v>
      </c>
      <c r="B15" s="24" t="s">
        <v>14</v>
      </c>
      <c r="C15" s="23">
        <v>6</v>
      </c>
      <c r="D15" s="25" t="s">
        <v>20</v>
      </c>
      <c r="E15" s="31">
        <f>IF(Tabla5[[#This Row],[Tipo]]="postres",$I$3,IF(Tabla5[[#This Row],[Tipo]]="entrantes y primeros",$I$1,IF(Tabla5[[#This Row],[Tipo]]="segundos platos",$I$2)))</f>
        <v>3.5</v>
      </c>
      <c r="F15" s="29">
        <v>8</v>
      </c>
      <c r="G15" s="32">
        <f>IF(Tabla5[[#This Row],[Pedidos]]=0,"No hay pedidos",Tabla5[[#This Row],[Pedidos]]*Tabla5[[#This Row],[Precio ]])</f>
        <v>28</v>
      </c>
    </row>
    <row r="16" spans="1:9" x14ac:dyDescent="0.25">
      <c r="A16" s="26">
        <v>10</v>
      </c>
      <c r="B16" s="27" t="s">
        <v>15</v>
      </c>
      <c r="C16" s="26">
        <v>5</v>
      </c>
      <c r="D16" s="28" t="s">
        <v>11</v>
      </c>
      <c r="E16" s="31">
        <f>IF(Tabla5[[#This Row],[Tipo]]="postres",$I$3,IF(Tabla5[[#This Row],[Tipo]]="entrantes y primeros",$I$1,IF(Tabla5[[#This Row],[Tipo]]="segundos platos",$I$2)))</f>
        <v>7.5</v>
      </c>
      <c r="F16" s="30">
        <v>6</v>
      </c>
      <c r="G16" s="33">
        <f>IF(Tabla5[[#This Row],[Pedidos]]=0,"No hay pedidos",Tabla5[[#This Row],[Pedidos]]*Tabla5[[#This Row],[Precio ]])</f>
        <v>45</v>
      </c>
    </row>
    <row r="17" spans="1:7" x14ac:dyDescent="0.25">
      <c r="A17" s="23">
        <v>11</v>
      </c>
      <c r="B17" s="24" t="s">
        <v>16</v>
      </c>
      <c r="C17" s="23">
        <v>3</v>
      </c>
      <c r="D17" s="25" t="s">
        <v>20</v>
      </c>
      <c r="E17" s="31">
        <f>IF(Tabla5[[#This Row],[Tipo]]="postres",$I$3,IF(Tabla5[[#This Row],[Tipo]]="entrantes y primeros",$I$1,IF(Tabla5[[#This Row],[Tipo]]="segundos platos",$I$2)))</f>
        <v>3.5</v>
      </c>
      <c r="F17" s="29">
        <v>5</v>
      </c>
      <c r="G17" s="32">
        <f>IF(Tabla5[[#This Row],[Pedidos]]=0,"No hay pedidos",Tabla5[[#This Row],[Pedidos]]*Tabla5[[#This Row],[Precio ]])</f>
        <v>17.5</v>
      </c>
    </row>
    <row r="18" spans="1:7" x14ac:dyDescent="0.25">
      <c r="A18" s="26">
        <v>12</v>
      </c>
      <c r="B18" s="27" t="s">
        <v>17</v>
      </c>
      <c r="C18" s="26">
        <v>3</v>
      </c>
      <c r="D18" s="28" t="s">
        <v>10</v>
      </c>
      <c r="E18" s="31">
        <f>IF(Tabla5[[#This Row],[Tipo]]="postres",$I$3,IF(Tabla5[[#This Row],[Tipo]]="entrantes y primeros",$I$1,IF(Tabla5[[#This Row],[Tipo]]="segundos platos",$I$2)))</f>
        <v>4.5</v>
      </c>
      <c r="F18" s="30">
        <v>2</v>
      </c>
      <c r="G18" s="33">
        <f>IF(Tabla5[[#This Row],[Pedidos]]=0,"No hay pedidos",Tabla5[[#This Row],[Pedidos]]*Tabla5[[#This Row],[Precio ]])</f>
        <v>9</v>
      </c>
    </row>
    <row r="19" spans="1:7" x14ac:dyDescent="0.25">
      <c r="A19" s="23">
        <v>13</v>
      </c>
      <c r="B19" s="24" t="s">
        <v>18</v>
      </c>
      <c r="C19" s="23">
        <v>4</v>
      </c>
      <c r="D19" s="25" t="s">
        <v>20</v>
      </c>
      <c r="E19" s="31">
        <f>IF(Tabla5[[#This Row],[Tipo]]="postres",$I$3,IF(Tabla5[[#This Row],[Tipo]]="entrantes y primeros",$I$1,IF(Tabla5[[#This Row],[Tipo]]="segundos platos",$I$2)))</f>
        <v>3.5</v>
      </c>
      <c r="F19" s="29">
        <v>10</v>
      </c>
      <c r="G19" s="32">
        <f>IF(Tabla5[[#This Row],[Pedidos]]=0,"No hay pedidos",Tabla5[[#This Row],[Pedidos]]*Tabla5[[#This Row],[Precio ]])</f>
        <v>35</v>
      </c>
    </row>
    <row r="20" spans="1:7" x14ac:dyDescent="0.25">
      <c r="A20" s="26">
        <v>14</v>
      </c>
      <c r="B20" s="27" t="s">
        <v>19</v>
      </c>
      <c r="C20" s="26">
        <v>3</v>
      </c>
      <c r="D20" s="28" t="s">
        <v>10</v>
      </c>
      <c r="E20" s="31">
        <f>IF(Tabla5[[#This Row],[Tipo]]="postres",$I$3,IF(Tabla5[[#This Row],[Tipo]]="entrantes y primeros",$I$1,IF(Tabla5[[#This Row],[Tipo]]="segundos platos",$I$2)))</f>
        <v>4.5</v>
      </c>
      <c r="F20" s="30">
        <v>1</v>
      </c>
      <c r="G20" s="33">
        <f>IF(Tabla5[[#This Row],[Pedidos]]=0,"No hay pedidos",Tabla5[[#This Row],[Pedidos]]*Tabla5[[#This Row],[Precio ]])</f>
        <v>4.5</v>
      </c>
    </row>
    <row r="21" spans="1:7" x14ac:dyDescent="0.25">
      <c r="A21" s="34" t="s">
        <v>24</v>
      </c>
      <c r="B21" s="34">
        <f>SUBTOTAL(103,Tabla5[Receta])</f>
        <v>14</v>
      </c>
      <c r="C21" s="34">
        <f>SUBTOTAL(101,Tabla5[Nº ingredientes])</f>
        <v>4.6428571428571432</v>
      </c>
      <c r="D21" s="34"/>
      <c r="E21" s="35"/>
      <c r="F21" s="36">
        <f>SUBTOTAL(101,Tabla5[Pedidos])</f>
        <v>4.5</v>
      </c>
      <c r="G21" s="37"/>
    </row>
  </sheetData>
  <sheetProtection sheet="1" objects="1" scenarios="1"/>
  <mergeCells count="1">
    <mergeCell ref="A2:D3"/>
  </mergeCells>
  <conditionalFormatting sqref="F7:F20">
    <cfRule type="cellIs" dxfId="18" priority="1" operator="equal">
      <formula>0</formula>
    </cfRule>
  </conditionalFormatting>
  <dataValidations count="3">
    <dataValidation type="whole" allowBlank="1" showInputMessage="1" showErrorMessage="1" errorTitle="ERROR" error="SOLO SE PUEDEN INTRODUCIR NUMEROS POSITIVOS EN Nº DE INGREDIENTES_x000a_" sqref="C7:C20">
      <formula1>0</formula1>
      <formula2>9.99999999999999E+23</formula2>
    </dataValidation>
    <dataValidation type="list" allowBlank="1" showInputMessage="1" showErrorMessage="1" sqref="I7">
      <formula1>$D$7:$D$20</formula1>
    </dataValidation>
    <dataValidation type="whole" allowBlank="1" showInputMessage="1" showErrorMessage="1" sqref="F7:F20">
      <formula1>0</formula1>
      <formula2>9.99999999999999E+25</formula2>
    </dataValidation>
  </dataValidations>
  <pageMargins left="0.7" right="0.7" top="0.75" bottom="0.75" header="0.3" footer="0.3"/>
  <pageSetup paperSize="9" orientation="portrait" horizontalDpi="300" verticalDpi="300" r:id="rId1"/>
  <ignoredErrors>
    <ignoredError sqref="E7:E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otón4_Haga_clic_en">
                <anchor moveWithCells="1" sizeWithCells="1">
                  <from>
                    <xdr:col>7</xdr:col>
                    <xdr:colOff>895350</xdr:colOff>
                    <xdr:row>7</xdr:row>
                    <xdr:rowOff>47625</xdr:rowOff>
                  </from>
                  <to>
                    <xdr:col>10</xdr:col>
                    <xdr:colOff>371475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Hoja1!$A$1:$A$3</xm:f>
          </x14:formula1>
          <xm:sqref>D7:D20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Tabla dinamica recetas</vt:lpstr>
      <vt:lpstr>recetas</vt:lpstr>
      <vt:lpstr>Busqueda de recetas</vt:lpstr>
      <vt:lpstr>Precios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2022-03-03T12:01:28Z</dcterms:modified>
</cp:coreProperties>
</file>