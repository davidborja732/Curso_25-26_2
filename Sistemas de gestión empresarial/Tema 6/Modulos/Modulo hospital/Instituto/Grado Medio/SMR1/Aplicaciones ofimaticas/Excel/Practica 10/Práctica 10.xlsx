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10\"/>
    </mc:Choice>
  </mc:AlternateContent>
  <bookViews>
    <workbookView xWindow="0" yWindow="0" windowWidth="20490" windowHeight="7650" activeTab="1"/>
  </bookViews>
  <sheets>
    <sheet name="Ejercicio 1" sheetId="1" r:id="rId1"/>
    <sheet name="Ejercicio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F8" i="2"/>
  <c r="B28" i="1"/>
  <c r="B30" i="1" s="1"/>
  <c r="B31" i="1" l="1"/>
</calcChain>
</file>

<file path=xl/sharedStrings.xml><?xml version="1.0" encoding="utf-8"?>
<sst xmlns="http://schemas.openxmlformats.org/spreadsheetml/2006/main" count="92" uniqueCount="86">
  <si>
    <t>CONVERSOR DE MONEDA</t>
  </si>
  <si>
    <t>DIVISA</t>
  </si>
  <si>
    <t>VALOR DEL CAMBIO</t>
  </si>
  <si>
    <t>Dólar USA</t>
  </si>
  <si>
    <t>USA</t>
  </si>
  <si>
    <t>Euro</t>
  </si>
  <si>
    <t>UE</t>
  </si>
  <si>
    <t>Marco alemán</t>
  </si>
  <si>
    <t>Alemán</t>
  </si>
  <si>
    <t>Franco francés</t>
  </si>
  <si>
    <t>Francés</t>
  </si>
  <si>
    <t>Libra esterlina</t>
  </si>
  <si>
    <t>Esterlina</t>
  </si>
  <si>
    <t>Liras</t>
  </si>
  <si>
    <t>Italianas</t>
  </si>
  <si>
    <t>Francos belgas</t>
  </si>
  <si>
    <t>Belgas</t>
  </si>
  <si>
    <t>Florín</t>
  </si>
  <si>
    <t>Holandés</t>
  </si>
  <si>
    <t>Corona danesa</t>
  </si>
  <si>
    <t>Danesa</t>
  </si>
  <si>
    <t>Libra irlandesa</t>
  </si>
  <si>
    <t>Irlandesa</t>
  </si>
  <si>
    <t>Escudos</t>
  </si>
  <si>
    <t>Portugueses</t>
  </si>
  <si>
    <t>Dracmas</t>
  </si>
  <si>
    <t>Griegos</t>
  </si>
  <si>
    <t>Dólar canadiense</t>
  </si>
  <si>
    <t>Canadiense</t>
  </si>
  <si>
    <t>Franco suizo</t>
  </si>
  <si>
    <t>Suizo</t>
  </si>
  <si>
    <t>Yens</t>
  </si>
  <si>
    <t>Japoneses</t>
  </si>
  <si>
    <t>Corona sueca</t>
  </si>
  <si>
    <t>Sueca</t>
  </si>
  <si>
    <t>Corona noruega</t>
  </si>
  <si>
    <t>Noruega</t>
  </si>
  <si>
    <t>Marco finlandés</t>
  </si>
  <si>
    <t>Finlandés</t>
  </si>
  <si>
    <t>Chelín</t>
  </si>
  <si>
    <t>Austríaco</t>
  </si>
  <si>
    <t>ORDENADORES DEL AULA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</si>
  <si>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</si>
  <si>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</si>
  <si>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</si>
  <si>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</si>
  <si>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</si>
  <si>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</si>
  <si>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</si>
  <si>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</si>
  <si>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</si>
  <si>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</si>
  <si>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</si>
  <si>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</si>
  <si>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</si>
  <si>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equipo 14</t>
  </si>
  <si>
    <t>equipo 15</t>
  </si>
  <si>
    <t xml:space="preserve">EL cliente nos viene con </t>
  </si>
  <si>
    <t xml:space="preserve">Cantidad </t>
  </si>
  <si>
    <t>CODIGO DIVISA</t>
  </si>
  <si>
    <t xml:space="preserve">El valor de la divisa es </t>
  </si>
  <si>
    <t xml:space="preserve">Al cambio son </t>
  </si>
  <si>
    <t>Pesetas</t>
  </si>
  <si>
    <t>Euros</t>
  </si>
  <si>
    <t>ALUMNOS SMR1</t>
  </si>
  <si>
    <t>DNI</t>
  </si>
  <si>
    <t>NOMBRE</t>
  </si>
  <si>
    <t>MAIL</t>
  </si>
  <si>
    <t>TELEFONO</t>
  </si>
  <si>
    <t>FECHA DE NACIMIENTO</t>
  </si>
  <si>
    <t>Nº DE ORDENADor</t>
  </si>
  <si>
    <t>Antonio Gonzalez</t>
  </si>
  <si>
    <t xml:space="preserve">Escobar Pablo </t>
  </si>
  <si>
    <t>11111111A</t>
  </si>
  <si>
    <t>22222222B</t>
  </si>
  <si>
    <t>33333333C</t>
  </si>
  <si>
    <t>66666666D</t>
  </si>
  <si>
    <t xml:space="preserve">Andre Perez </t>
  </si>
  <si>
    <t xml:space="preserve">Pepe Manzano </t>
  </si>
  <si>
    <t>Total</t>
  </si>
  <si>
    <t>Antonio@gmail.com</t>
  </si>
  <si>
    <t>Andre@gmail.com</t>
  </si>
  <si>
    <t>Pablo@gmail.com</t>
  </si>
  <si>
    <t>manzano@gmail.com</t>
  </si>
  <si>
    <t>EL ALUMNO</t>
  </si>
  <si>
    <t xml:space="preserve">OCUPA 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</si>
</sst>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52"/>
      <name val="Arial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double">
        <color indexed="52"/>
      </left>
      <right style="double">
        <color indexed="52"/>
      </right>
      <top style="double">
        <color indexed="52"/>
      </top>
      <bottom/>
      <diagonal/>
    </border>
    <border>
      <left style="double">
        <color indexed="52"/>
      </left>
      <right style="double">
        <color indexed="52"/>
      </right>
      <top/>
      <bottom/>
      <diagonal/>
    </border>
    <border>
      <left style="double">
        <color indexed="52"/>
      </left>
      <right style="double">
        <color indexed="52"/>
      </right>
      <top/>
      <bottom style="double">
        <color indexed="5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4" fillId="0" borderId="0" xfId="0" applyFont="1"/>
    <xf numFmtId="0" fontId="4" fillId="0" borderId="0" xfId="0" applyNumberFormat="1" applyFont="1"/>
    <xf numFmtId="0" fontId="5" fillId="0" borderId="0" xfId="0" applyFont="1" applyProtection="1">
      <protection locked="0"/>
    </xf>
    <xf numFmtId="0" fontId="5" fillId="0" borderId="0" xfId="0" applyFont="1"/>
    <xf numFmtId="2" fontId="5" fillId="0" borderId="0" xfId="0" applyNumberFormat="1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6" fillId="0" borderId="0" xfId="1"/>
    <xf numFmtId="0" fontId="0" fillId="3" borderId="0" xfId="0" applyFill="1"/>
    <xf numFmtId="0" fontId="0" fillId="3" borderId="0" xfId="0" applyFill="1" applyAlignment="1"/>
    <xf numFmtId="0" fontId="0" fillId="3" borderId="0" xfId="0" applyFont="1" applyFill="1"/>
    <xf numFmtId="0" fontId="0" fillId="3" borderId="0" xfId="0" applyFill="1" applyAlignment="1" applyProtection="1">
      <protection locked="0"/>
    </xf>
    <xf numFmtId="0" fontId="0" fillId="3" borderId="0" xfId="0" applyFill="1" applyProtection="1">
      <protection locked="0"/>
    </xf>
  </cellXfs>
  <cellStyles count="2">
    <cellStyle name="Hipervínculo" xfId="1" builtinId="8"/>
    <cellStyle name="Normal" xfId="0" builtinId="0"/>
  </cellStyles>
  <dxfs count="2">
    <dxf>
      <protection locked="0" hidden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0</xdr:row>
      <xdr:rowOff>28575</xdr:rowOff>
    </xdr:from>
    <xdr:to>
      <xdr:col>4</xdr:col>
      <xdr:colOff>428625</xdr:colOff>
      <xdr:row>3</xdr:row>
      <xdr:rowOff>38100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" y="28575"/>
          <a:ext cx="8763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3" name="Tabla3" displayName="Tabla3" ref="A3:F8" totalsRowCount="1" headerRowDxfId="1">
  <autoFilter ref="A3:F7"/>
  <tableColumns count="6">
    <tableColumn id="1" name="DNI" totalsRowLabel="Total"/>
    <tableColumn id="2" name="NOMBRE"/>
    <tableColumn id="3" name="MAIL"/>
    <tableColumn id="4" name="TELEFONO"/>
    <tableColumn id="5" name="FECHA DE NACIMIENTO"/>
    <tableColumn id="6" name="Nº DE ORDENADor" totalsRowFunction="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ablo@gmail.com" TargetMode="External"/><Relationship Id="rId2" Type="http://schemas.openxmlformats.org/officeDocument/2006/relationships/hyperlink" Target="mailto:Antonio@gmail.com" TargetMode="External"/><Relationship Id="rId1" Type="http://schemas.openxmlformats.org/officeDocument/2006/relationships/hyperlink" Target="mailto:Antonio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manzano@gmail.com" TargetMode="External"/><Relationship Id="rId4" Type="http://schemas.openxmlformats.org/officeDocument/2006/relationships/hyperlink" Target="mailto:And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16" workbookViewId="0">
      <selection activeCell="H26" sqref="H26"/>
    </sheetView>
  </sheetViews>
  <sheetFormatPr baseColWidth="10" defaultRowHeight="15" x14ac:dyDescent="0.25"/>
  <cols>
    <col min="1" max="1" width="22.7109375" bestFit="1" customWidth="1"/>
    <col min="2" max="2" width="16.28515625" bestFit="1" customWidth="1"/>
    <col min="3" max="3" width="14.5703125" bestFit="1" customWidth="1"/>
    <col min="4" max="4" width="9" bestFit="1" customWidth="1"/>
  </cols>
  <sheetData>
    <row r="1" spans="1:4" x14ac:dyDescent="0.25">
      <c r="A1" s="7" t="s">
        <v>0</v>
      </c>
      <c r="B1" s="8"/>
      <c r="C1" s="8"/>
      <c r="D1" s="8"/>
    </row>
    <row r="2" spans="1:4" x14ac:dyDescent="0.25">
      <c r="A2" s="8"/>
      <c r="B2" s="8"/>
      <c r="C2" s="8"/>
      <c r="D2" s="8"/>
    </row>
    <row r="4" spans="1:4" ht="39" x14ac:dyDescent="0.25">
      <c r="B4" s="1" t="s">
        <v>1</v>
      </c>
      <c r="C4" s="1"/>
      <c r="D4" s="2" t="s">
        <v>2</v>
      </c>
    </row>
    <row r="5" spans="1:4" x14ac:dyDescent="0.25">
      <c r="B5" t="s">
        <v>3</v>
      </c>
      <c r="C5" t="s">
        <v>4</v>
      </c>
      <c r="D5">
        <v>153.65600000000001</v>
      </c>
    </row>
    <row r="6" spans="1:4" x14ac:dyDescent="0.25">
      <c r="B6" t="s">
        <v>5</v>
      </c>
      <c r="C6" t="s">
        <v>6</v>
      </c>
      <c r="D6">
        <v>166.386</v>
      </c>
    </row>
    <row r="7" spans="1:4" x14ac:dyDescent="0.25">
      <c r="B7" t="s">
        <v>7</v>
      </c>
      <c r="C7" t="s">
        <v>8</v>
      </c>
      <c r="D7">
        <v>85.072000000000003</v>
      </c>
    </row>
    <row r="8" spans="1:4" x14ac:dyDescent="0.25">
      <c r="B8" t="s">
        <v>9</v>
      </c>
      <c r="C8" t="s">
        <v>10</v>
      </c>
      <c r="D8">
        <v>25.364999999999998</v>
      </c>
    </row>
    <row r="9" spans="1:4" x14ac:dyDescent="0.25">
      <c r="B9" t="s">
        <v>11</v>
      </c>
      <c r="C9" t="s">
        <v>12</v>
      </c>
      <c r="D9">
        <v>246.96</v>
      </c>
    </row>
    <row r="10" spans="1:4" x14ac:dyDescent="0.25">
      <c r="B10" t="s">
        <v>13</v>
      </c>
      <c r="C10" t="s">
        <v>14</v>
      </c>
      <c r="D10">
        <v>8.5930000000000006E-2</v>
      </c>
    </row>
    <row r="11" spans="1:4" x14ac:dyDescent="0.25">
      <c r="B11" t="s">
        <v>15</v>
      </c>
      <c r="C11" t="s">
        <v>16</v>
      </c>
      <c r="D11">
        <v>4.1246</v>
      </c>
    </row>
    <row r="12" spans="1:4" x14ac:dyDescent="0.25">
      <c r="B12" t="s">
        <v>17</v>
      </c>
      <c r="C12" t="s">
        <v>18</v>
      </c>
      <c r="D12">
        <v>75.503</v>
      </c>
    </row>
    <row r="13" spans="1:4" x14ac:dyDescent="0.25">
      <c r="B13" t="s">
        <v>19</v>
      </c>
      <c r="C13" t="s">
        <v>20</v>
      </c>
      <c r="D13">
        <v>22.335999999999999</v>
      </c>
    </row>
    <row r="14" spans="1:4" x14ac:dyDescent="0.25">
      <c r="B14" t="s">
        <v>21</v>
      </c>
      <c r="C14" t="s">
        <v>22</v>
      </c>
      <c r="D14">
        <v>211.267</v>
      </c>
    </row>
    <row r="15" spans="1:4" x14ac:dyDescent="0.25">
      <c r="B15" t="s">
        <v>23</v>
      </c>
      <c r="C15" t="s">
        <v>24</v>
      </c>
      <c r="D15">
        <v>0.82992999999999995</v>
      </c>
    </row>
    <row r="16" spans="1:4" x14ac:dyDescent="0.25">
      <c r="B16" t="s">
        <v>25</v>
      </c>
      <c r="C16" t="s">
        <v>26</v>
      </c>
      <c r="D16">
        <v>0.51680999999999999</v>
      </c>
    </row>
    <row r="17" spans="1:4" x14ac:dyDescent="0.25">
      <c r="B17" t="s">
        <v>27</v>
      </c>
      <c r="C17" t="s">
        <v>28</v>
      </c>
      <c r="D17">
        <v>100.80800000000001</v>
      </c>
    </row>
    <row r="18" spans="1:4" x14ac:dyDescent="0.25">
      <c r="B18" t="s">
        <v>29</v>
      </c>
      <c r="C18" t="s">
        <v>30</v>
      </c>
      <c r="D18">
        <v>104.464</v>
      </c>
    </row>
    <row r="19" spans="1:4" x14ac:dyDescent="0.25">
      <c r="B19" t="s">
        <v>31</v>
      </c>
      <c r="C19" t="s">
        <v>32</v>
      </c>
      <c r="D19">
        <v>1.2519899999999999</v>
      </c>
    </row>
    <row r="20" spans="1:4" x14ac:dyDescent="0.25">
      <c r="B20" t="s">
        <v>33</v>
      </c>
      <c r="C20" t="s">
        <v>34</v>
      </c>
      <c r="D20">
        <v>18.609000000000002</v>
      </c>
    </row>
    <row r="21" spans="1:4" x14ac:dyDescent="0.25">
      <c r="B21" t="s">
        <v>35</v>
      </c>
      <c r="C21" t="s">
        <v>36</v>
      </c>
      <c r="D21">
        <v>19.338000000000001</v>
      </c>
    </row>
    <row r="22" spans="1:4" x14ac:dyDescent="0.25">
      <c r="B22" t="s">
        <v>37</v>
      </c>
      <c r="C22" t="s">
        <v>38</v>
      </c>
      <c r="D22">
        <v>27.984000000000002</v>
      </c>
    </row>
    <row r="23" spans="1:4" x14ac:dyDescent="0.25">
      <c r="B23" t="s">
        <v>39</v>
      </c>
      <c r="C23" t="s">
        <v>40</v>
      </c>
      <c r="D23">
        <v>12.09174</v>
      </c>
    </row>
    <row r="25" spans="1:4" x14ac:dyDescent="0.25">
      <c r="B25" s="10" t="s">
        <v>58</v>
      </c>
      <c r="C25" s="10" t="s">
        <v>59</v>
      </c>
    </row>
    <row r="26" spans="1:4" x14ac:dyDescent="0.25">
      <c r="A26" s="10" t="s">
        <v>57</v>
      </c>
      <c r="B26" s="12">
        <v>45</v>
      </c>
      <c r="C26" s="12" t="s">
        <v>7</v>
      </c>
    </row>
    <row r="27" spans="1:4" x14ac:dyDescent="0.25">
      <c r="B27" s="10"/>
      <c r="C27" s="10"/>
    </row>
    <row r="28" spans="1:4" x14ac:dyDescent="0.25">
      <c r="A28" s="10" t="s">
        <v>60</v>
      </c>
      <c r="B28" s="11">
        <f>VLOOKUP(C26,B5:D23,3,0)</f>
        <v>85.072000000000003</v>
      </c>
      <c r="C28" s="10"/>
    </row>
    <row r="29" spans="1:4" x14ac:dyDescent="0.25">
      <c r="B29" s="10"/>
      <c r="C29" s="10"/>
    </row>
    <row r="30" spans="1:4" x14ac:dyDescent="0.25">
      <c r="A30" s="10" t="s">
        <v>61</v>
      </c>
      <c r="B30" s="13">
        <f>B26*B28</f>
        <v>3828.2400000000002</v>
      </c>
      <c r="C30" s="10" t="s">
        <v>62</v>
      </c>
    </row>
    <row r="31" spans="1:4" x14ac:dyDescent="0.25">
      <c r="A31" s="10"/>
      <c r="B31" s="14">
        <f>B26*B28/D6</f>
        <v>23.008185784861709</v>
      </c>
      <c r="C31" s="10" t="s">
        <v>63</v>
      </c>
    </row>
    <row r="32" spans="1:4" x14ac:dyDescent="0.25">
      <c r="B32" s="10"/>
      <c r="C32" s="10"/>
    </row>
  </sheetData>
  <mergeCells count="1">
    <mergeCell ref="A1:D2"/>
  </mergeCells>
  <dataValidations count="2">
    <dataValidation type="list" allowBlank="1" showInputMessage="1" showErrorMessage="1" sqref="C26">
      <formula1>$B$5:$B$23</formula1>
    </dataValidation>
    <dataValidation type="decimal" operator="greaterThan" allowBlank="1" showInputMessage="1" showErrorMessage="1" errorTitle="ERROR CALCULO" error="Introduzca un valor decimal positivo" promptTitle="Informacion calculo " prompt="Solo se puede introducir un valor decimal positivo _x000a_" sqref="B26">
      <formula1>0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18" sqref="E18"/>
    </sheetView>
  </sheetViews>
  <sheetFormatPr baseColWidth="10" defaultRowHeight="15" x14ac:dyDescent="0.25"/>
  <cols>
    <col min="1" max="1" width="12" customWidth="1"/>
    <col min="2" max="2" width="16.7109375" bestFit="1" customWidth="1"/>
    <col min="3" max="3" width="19.28515625" bestFit="1" customWidth="1"/>
    <col min="4" max="4" width="12" customWidth="1"/>
    <col min="5" max="5" width="13.140625" customWidth="1"/>
    <col min="6" max="6" width="12" customWidth="1"/>
    <col min="8" max="8" width="22.42578125" customWidth="1"/>
  </cols>
  <sheetData>
    <row r="1" spans="1:8" x14ac:dyDescent="0.25">
      <c r="A1" s="16" t="s">
        <v>64</v>
      </c>
      <c r="B1" s="16"/>
      <c r="C1" s="16"/>
      <c r="D1" s="16"/>
      <c r="E1" s="16"/>
      <c r="F1" s="16"/>
    </row>
    <row r="3" spans="1:8" ht="30.75" thickBot="1" x14ac:dyDescent="0.3">
      <c r="A3" s="15" t="s">
        <v>65</v>
      </c>
      <c r="B3" s="15" t="s">
        <v>66</v>
      </c>
      <c r="C3" s="15" t="s">
        <v>67</v>
      </c>
      <c r="D3" s="15" t="s">
        <v>68</v>
      </c>
      <c r="E3" s="17" t="s">
        <v>69</v>
      </c>
      <c r="F3" s="17" t="s">
        <v>70</v>
      </c>
      <c r="H3" s="3" t="s">
        <v>41</v>
      </c>
    </row>
    <row r="4" spans="1:8" ht="15.75" thickTop="1" x14ac:dyDescent="0.25">
      <c r="A4" t="s">
        <v>73</v>
      </c>
      <c r="B4" t="s">
        <v>71</v>
      </c>
      <c r="C4" s="19" t="s">
        <v>80</v>
      </c>
      <c r="D4">
        <v>654353090</v>
      </c>
      <c r="E4" s="18">
        <v>28095</v>
      </c>
      <c r="F4" s="9" t="s">
        <v>51</v>
      </c>
      <c r="H4" s="4" t="s">
        <v>42</v>
      </c>
    </row>
    <row r="5" spans="1:8" x14ac:dyDescent="0.25">
      <c r="A5" t="s">
        <v>74</v>
      </c>
      <c r="B5" t="s">
        <v>72</v>
      </c>
      <c r="C5" s="19" t="s">
        <v>82</v>
      </c>
      <c r="D5">
        <v>675432123</v>
      </c>
      <c r="E5" s="18">
        <v>33148</v>
      </c>
      <c r="F5" s="9" t="s">
        <v>43</v>
      </c>
      <c r="H5" s="5" t="s">
        <v>43</v>
      </c>
    </row>
    <row r="6" spans="1:8" x14ac:dyDescent="0.25">
      <c r="A6" t="s">
        <v>75</v>
      </c>
      <c r="B6" t="s">
        <v>77</v>
      </c>
      <c r="C6" s="19" t="s">
        <v>81</v>
      </c>
      <c r="D6">
        <v>678954321</v>
      </c>
      <c r="E6" s="18">
        <v>36833</v>
      </c>
      <c r="F6" s="9" t="s">
        <v>45</v>
      </c>
      <c r="H6" s="5" t="s">
        <v>44</v>
      </c>
    </row>
    <row r="7" spans="1:8" x14ac:dyDescent="0.25">
      <c r="A7" t="s">
        <v>76</v>
      </c>
      <c r="B7" t="s">
        <v>78</v>
      </c>
      <c r="C7" s="19" t="s">
        <v>83</v>
      </c>
      <c r="D7">
        <v>634542132</v>
      </c>
      <c r="E7" s="18">
        <v>37229</v>
      </c>
      <c r="F7" s="9" t="s">
        <v>53</v>
      </c>
      <c r="H7" s="5" t="s">
        <v>45</v>
      </c>
    </row>
    <row r="8" spans="1:8" x14ac:dyDescent="0.25">
      <c r="A8" t="s">
        <v>79</v>
      </c>
      <c r="F8">
        <f>SUBTOTAL(103,Tabla3[Nº DE ORDENADor])</f>
        <v>4</v>
      </c>
      <c r="H8" s="5" t="s">
        <v>46</v>
      </c>
    </row>
    <row r="9" spans="1:8" x14ac:dyDescent="0.25">
      <c r="H9" s="5" t="s">
        <v>47</v>
      </c>
    </row>
    <row r="10" spans="1:8" x14ac:dyDescent="0.25">
      <c r="H10" s="5" t="s">
        <v>48</v>
      </c>
    </row>
    <row r="11" spans="1:8" x14ac:dyDescent="0.25">
      <c r="H11" s="5" t="s">
        <v>49</v>
      </c>
    </row>
    <row r="12" spans="1:8" x14ac:dyDescent="0.25">
      <c r="H12" s="5" t="s">
        <v>50</v>
      </c>
    </row>
    <row r="13" spans="1:8" x14ac:dyDescent="0.25">
      <c r="H13" s="5" t="s">
        <v>51</v>
      </c>
    </row>
    <row r="14" spans="1:8" x14ac:dyDescent="0.25">
      <c r="A14" s="20"/>
      <c r="B14" s="20"/>
      <c r="C14" s="20"/>
      <c r="D14" s="20"/>
      <c r="E14" s="20"/>
      <c r="F14" s="20"/>
      <c r="H14" s="5" t="s">
        <v>52</v>
      </c>
    </row>
    <row r="15" spans="1:8" x14ac:dyDescent="0.25">
      <c r="A15" s="20"/>
      <c r="B15" s="21" t="s">
        <v>84</v>
      </c>
      <c r="C15" s="23" t="s">
        <v>71</v>
      </c>
      <c r="D15" s="22" t="s">
        <v>85</v>
      </c>
      <c r="E15" s="24" t="str">
        <f>VLOOKUP(C15,Tabla3[[NOMBRE]:[Nº DE ORDENADor]],5,0)</f>
        <v>equipo 10</v>
      </c>
      <c r="F15" s="20"/>
      <c r="H15" s="5" t="s">
        <v>53</v>
      </c>
    </row>
    <row r="16" spans="1:8" x14ac:dyDescent="0.25">
      <c r="A16" s="20"/>
      <c r="B16" s="20"/>
      <c r="C16" s="20"/>
      <c r="D16" s="20"/>
      <c r="E16" s="20"/>
      <c r="F16" s="20"/>
      <c r="H16" s="5" t="s">
        <v>54</v>
      </c>
    </row>
    <row r="17" spans="8:8" x14ac:dyDescent="0.25">
      <c r="H17" s="5" t="s">
        <v>55</v>
      </c>
    </row>
    <row r="18" spans="8:8" ht="15.75" thickBot="1" x14ac:dyDescent="0.3">
      <c r="H18" s="6" t="s">
        <v>56</v>
      </c>
    </row>
    <row r="19" spans="8:8" ht="15.75" thickTop="1" x14ac:dyDescent="0.25"/>
  </sheetData>
  <sheetProtection sheet="1" objects="1" scenarios="1"/>
  <mergeCells count="1">
    <mergeCell ref="A1:F1"/>
  </mergeCells>
  <dataValidations count="4">
    <dataValidation type="list" allowBlank="1" showInputMessage="1" showErrorMessage="1" sqref="F4:F7">
      <formula1>$H$4:$H$18</formula1>
    </dataValidation>
    <dataValidation type="textLength" allowBlank="1" showInputMessage="1" showErrorMessage="1" errorTitle="ERROR" error="Solo puede tener 9 caracteres como maximo " sqref="A4:A7 D4:D7">
      <formula1>0</formula1>
      <formula2>9</formula2>
    </dataValidation>
    <dataValidation type="date" allowBlank="1" showInputMessage="1" showErrorMessage="1" errorTitle="ERROR" error="Solo se pueden introducir fechas _x000a_" sqref="E4:E7">
      <formula1>1</formula1>
      <formula2>162535</formula2>
    </dataValidation>
    <dataValidation type="list" allowBlank="1" showInputMessage="1" showErrorMessage="1" sqref="C15">
      <formula1>$B$4:$B$7</formula1>
    </dataValidation>
  </dataValidations>
  <hyperlinks>
    <hyperlink ref="C4" r:id="rId1"/>
    <hyperlink ref="C5:C7" r:id="rId2" display="Antonio@gmail.com"/>
    <hyperlink ref="C5" r:id="rId3"/>
    <hyperlink ref="C6" r:id="rId4"/>
    <hyperlink ref="C7" r:id="rId5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smr1</cp:lastModifiedBy>
  <dcterms:created xsi:type="dcterms:W3CDTF">2022-02-22T07:52:04Z</dcterms:created>
  <dcterms:modified xsi:type="dcterms:W3CDTF">2022-02-22T07:45:08Z</dcterms:modified>
</cp:coreProperties>
</file>