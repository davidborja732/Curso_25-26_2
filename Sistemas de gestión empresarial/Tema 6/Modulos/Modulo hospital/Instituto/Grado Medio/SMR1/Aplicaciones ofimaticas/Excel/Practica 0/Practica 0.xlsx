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0\"/>
    </mc:Choice>
  </mc:AlternateContent>
  <bookViews>
    <workbookView xWindow="0" yWindow="0" windowWidth="20490" windowHeight="7650" firstSheet="1" activeTab="4"/>
  </bookViews>
  <sheets>
    <sheet name="Ejercicio 1" sheetId="2" r:id="rId1"/>
    <sheet name="Ejercicio 2" sheetId="3" r:id="rId2"/>
    <sheet name="Ejercicio 3" sheetId="4" r:id="rId3"/>
    <sheet name="Ejercicio 4" sheetId="5" r:id="rId4"/>
    <sheet name="Ejercicio 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6" l="1"/>
  <c r="F9" i="6"/>
  <c r="F10" i="6"/>
  <c r="F11" i="6"/>
  <c r="F12" i="6"/>
  <c r="F13" i="6"/>
  <c r="F8" i="6"/>
  <c r="F5" i="6"/>
  <c r="F15" i="6" l="1"/>
  <c r="K7" i="5" l="1"/>
  <c r="K8" i="5"/>
  <c r="D11" i="5"/>
  <c r="J6" i="5"/>
  <c r="J7" i="5"/>
  <c r="J8" i="5"/>
  <c r="J9" i="5"/>
  <c r="J10" i="5"/>
  <c r="J5" i="5"/>
  <c r="J11" i="5" s="1"/>
  <c r="H6" i="5"/>
  <c r="H7" i="5"/>
  <c r="H8" i="5"/>
  <c r="H9" i="5"/>
  <c r="H10" i="5"/>
  <c r="H5" i="5"/>
  <c r="H11" i="5" s="1"/>
  <c r="F6" i="5"/>
  <c r="F7" i="5"/>
  <c r="F8" i="5"/>
  <c r="F9" i="5"/>
  <c r="F10" i="5"/>
  <c r="F5" i="5"/>
  <c r="F11" i="5" s="1"/>
  <c r="D6" i="5"/>
  <c r="K6" i="5" s="1"/>
  <c r="D7" i="5"/>
  <c r="D8" i="5"/>
  <c r="D9" i="5"/>
  <c r="K9" i="5" s="1"/>
  <c r="D10" i="5"/>
  <c r="K10" i="5" s="1"/>
  <c r="D5" i="5"/>
  <c r="K5" i="5" s="1"/>
  <c r="H11" i="2"/>
  <c r="H14" i="2" s="1"/>
  <c r="H12" i="2"/>
  <c r="H13" i="2"/>
  <c r="C14" i="2"/>
  <c r="D14" i="2"/>
  <c r="E14" i="2"/>
  <c r="F14" i="2"/>
  <c r="G14" i="2"/>
  <c r="K11" i="5" l="1"/>
</calcChain>
</file>

<file path=xl/sharedStrings.xml><?xml version="1.0" encoding="utf-8"?>
<sst xmlns="http://schemas.openxmlformats.org/spreadsheetml/2006/main" count="102" uniqueCount="70">
  <si>
    <t>Maria</t>
  </si>
  <si>
    <t>Enero</t>
  </si>
  <si>
    <t>Febrero</t>
  </si>
  <si>
    <t>Infantil</t>
  </si>
  <si>
    <t>Señora</t>
  </si>
  <si>
    <t>Caballero</t>
  </si>
  <si>
    <t>TOTALES</t>
  </si>
  <si>
    <t>Botas</t>
  </si>
  <si>
    <t>Zapatos</t>
  </si>
  <si>
    <t>Deportivas</t>
  </si>
  <si>
    <t>Zapatillas</t>
  </si>
  <si>
    <t>Otros</t>
  </si>
  <si>
    <t>CALZADO VENDIDO EN ENERO</t>
  </si>
  <si>
    <t>SERIES</t>
  </si>
  <si>
    <t>Naturales</t>
  </si>
  <si>
    <t>Pares</t>
  </si>
  <si>
    <t>Fin trimestre</t>
  </si>
  <si>
    <t>Repetir</t>
  </si>
  <si>
    <t>Meses impares</t>
  </si>
  <si>
    <t>Meses pares</t>
  </si>
  <si>
    <t>marzo</t>
  </si>
  <si>
    <t>junio</t>
  </si>
  <si>
    <t>septiembre</t>
  </si>
  <si>
    <t>diciembre</t>
  </si>
  <si>
    <t>verde</t>
  </si>
  <si>
    <t xml:space="preserve">blanco </t>
  </si>
  <si>
    <t>enero</t>
  </si>
  <si>
    <t>mayo</t>
  </si>
  <si>
    <t>julio</t>
  </si>
  <si>
    <t>noviembre</t>
  </si>
  <si>
    <t xml:space="preserve">febrero </t>
  </si>
  <si>
    <t>abril</t>
  </si>
  <si>
    <t>agosto</t>
  </si>
  <si>
    <t>octubre</t>
  </si>
  <si>
    <t>febrero</t>
  </si>
  <si>
    <t>CALIFICACION DEL GRUPO POR MODULOS</t>
  </si>
  <si>
    <t>Nombre</t>
  </si>
  <si>
    <t>Ingles 1</t>
  </si>
  <si>
    <t xml:space="preserve">Sistemas operativos monopuesto </t>
  </si>
  <si>
    <t>Redes Locales</t>
  </si>
  <si>
    <t>FOL</t>
  </si>
  <si>
    <t xml:space="preserve">Aplicaciones Ofimaticas </t>
  </si>
  <si>
    <t>Montaje y mantenimento de hardware</t>
  </si>
  <si>
    <t>Juan</t>
  </si>
  <si>
    <t>Andres</t>
  </si>
  <si>
    <t>Teresa</t>
  </si>
  <si>
    <t>Ines</t>
  </si>
  <si>
    <t>Blanca</t>
  </si>
  <si>
    <t>Arturo</t>
  </si>
  <si>
    <t xml:space="preserve">Julia </t>
  </si>
  <si>
    <t>David</t>
  </si>
  <si>
    <t>teclado</t>
  </si>
  <si>
    <t>raton optico</t>
  </si>
  <si>
    <t>raton inalambrico</t>
  </si>
  <si>
    <t>memoria usb 4GB</t>
  </si>
  <si>
    <t>memoria usb 8GB</t>
  </si>
  <si>
    <t>memoria usb 16GB</t>
  </si>
  <si>
    <t>Marzo</t>
  </si>
  <si>
    <t>Abril</t>
  </si>
  <si>
    <t>VENTAS</t>
  </si>
  <si>
    <t>Tienda de informatica: TU PC</t>
  </si>
  <si>
    <t>FECHA</t>
  </si>
  <si>
    <t>ARTICULO</t>
  </si>
  <si>
    <t>CANTIDAD</t>
  </si>
  <si>
    <t>PRECIO</t>
  </si>
  <si>
    <t>DESCUENTO</t>
  </si>
  <si>
    <t>IMPORTE</t>
  </si>
  <si>
    <t>BASE IMPONIBLE</t>
  </si>
  <si>
    <t>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</si>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</sst>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DashDot">
        <color auto="1"/>
      </left>
      <right/>
      <top style="mediumDashDot">
        <color auto="1"/>
      </top>
      <bottom style="mediumDashDot">
        <color auto="1"/>
      </bottom>
      <diagonal/>
    </border>
    <border>
      <left/>
      <right style="mediumDashDotDot">
        <color auto="1"/>
      </right>
      <top style="mediumDashDotDot">
        <color auto="1"/>
      </top>
      <bottom style="mediumDashDotDot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Alignment="1"/>
    <xf numFmtId="0" fontId="2" fillId="3" borderId="0" xfId="0" applyFont="1" applyFill="1" applyBorder="1"/>
    <xf numFmtId="0" fontId="2" fillId="4" borderId="5" xfId="0" applyFont="1" applyFill="1" applyBorder="1"/>
    <xf numFmtId="0" fontId="2" fillId="2" borderId="7" xfId="0" applyFont="1" applyFill="1" applyBorder="1"/>
    <xf numFmtId="0" fontId="2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Fill="1" applyBorder="1"/>
    <xf numFmtId="0" fontId="5" fillId="0" borderId="13" xfId="0" applyFont="1" applyBorder="1"/>
    <xf numFmtId="0" fontId="5" fillId="0" borderId="0" xfId="0" applyFont="1" applyBorder="1"/>
    <xf numFmtId="0" fontId="5" fillId="0" borderId="14" xfId="0" applyFont="1" applyBorder="1"/>
    <xf numFmtId="0" fontId="0" fillId="0" borderId="0" xfId="0" applyBorder="1" applyAlignment="1"/>
    <xf numFmtId="0" fontId="4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164" fontId="0" fillId="0" borderId="19" xfId="0" applyNumberFormat="1" applyBorder="1"/>
    <xf numFmtId="164" fontId="0" fillId="0" borderId="14" xfId="0" applyNumberFormat="1" applyBorder="1"/>
    <xf numFmtId="164" fontId="0" fillId="0" borderId="0" xfId="0" applyNumberFormat="1"/>
    <xf numFmtId="164" fontId="0" fillId="0" borderId="17" xfId="0" applyNumberFormat="1" applyBorder="1"/>
    <xf numFmtId="0" fontId="0" fillId="0" borderId="20" xfId="0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5" xfId="0" applyNumberFormat="1" applyBorder="1"/>
    <xf numFmtId="0" fontId="2" fillId="0" borderId="11" xfId="0" applyFont="1" applyBorder="1"/>
    <xf numFmtId="0" fontId="2" fillId="0" borderId="0" xfId="0" applyFont="1" applyBorder="1"/>
    <xf numFmtId="164" fontId="2" fillId="2" borderId="26" xfId="0" applyNumberFormat="1" applyFont="1" applyFill="1" applyBorder="1"/>
    <xf numFmtId="164" fontId="2" fillId="2" borderId="27" xfId="0" applyNumberFormat="1" applyFont="1" applyFill="1" applyBorder="1"/>
    <xf numFmtId="164" fontId="2" fillId="2" borderId="22" xfId="0" applyNumberFormat="1" applyFont="1" applyFill="1" applyBorder="1"/>
    <xf numFmtId="164" fontId="2" fillId="2" borderId="23" xfId="0" applyNumberFormat="1" applyFont="1" applyFill="1" applyBorder="1"/>
    <xf numFmtId="164" fontId="2" fillId="2" borderId="25" xfId="0" applyNumberFormat="1" applyFont="1" applyFill="1" applyBorder="1"/>
    <xf numFmtId="164" fontId="2" fillId="2" borderId="24" xfId="0" applyNumberFormat="1" applyFont="1" applyFill="1" applyBorder="1"/>
    <xf numFmtId="0" fontId="0" fillId="6" borderId="18" xfId="0" applyFill="1" applyBorder="1"/>
    <xf numFmtId="0" fontId="3" fillId="0" borderId="0" xfId="0" applyFont="1"/>
    <xf numFmtId="10" fontId="0" fillId="0" borderId="0" xfId="0" applyNumberFormat="1"/>
    <xf numFmtId="0" fontId="7" fillId="8" borderId="0" xfId="0" applyFont="1" applyFill="1"/>
    <xf numFmtId="0" fontId="2" fillId="6" borderId="28" xfId="0" applyFont="1" applyFill="1" applyBorder="1"/>
    <xf numFmtId="0" fontId="6" fillId="7" borderId="0" xfId="0" applyFont="1" applyFill="1" applyAlignment="1">
      <alignment horizontal="center"/>
    </xf>
    <xf numFmtId="164" fontId="2" fillId="6" borderId="29" xfId="0" applyNumberFormat="1" applyFont="1" applyFill="1" applyBorder="1"/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22" fontId="0" fillId="0" borderId="0" xfId="0" applyNumberFormat="1"/>
    <xf numFmtId="0" fontId="2" fillId="6" borderId="29" xfId="0" applyFont="1" applyFill="1" applyBorder="1"/>
  </cellXfs>
  <cellStyles count="1">
    <cellStyle name="Normal" xfId="0" builtinId="0"/>
  </cellStyles>
  <dxfs count="9">
    <dxf>
      <font>
        <u val="double"/>
      </font>
    </dxf>
    <dxf>
      <font>
        <u val="double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B7" sqref="B7"/>
    </sheetView>
  </sheetViews>
  <sheetFormatPr baseColWidth="10" defaultRowHeight="15" x14ac:dyDescent="0.25"/>
  <sheetData>
    <row r="1" spans="1:8" x14ac:dyDescent="0.25">
      <c r="A1" s="7"/>
      <c r="B1" s="7"/>
      <c r="C1" s="7"/>
      <c r="D1" s="7"/>
      <c r="E1" s="7"/>
      <c r="F1" s="7"/>
      <c r="G1" s="7"/>
    </row>
    <row r="4" spans="1:8" x14ac:dyDescent="0.25">
      <c r="G4" s="1"/>
    </row>
    <row r="5" spans="1:8" x14ac:dyDescent="0.25">
      <c r="G5" s="1"/>
    </row>
    <row r="6" spans="1:8" x14ac:dyDescent="0.25">
      <c r="C6" s="1"/>
      <c r="D6" s="1"/>
      <c r="E6" s="1"/>
      <c r="F6" s="1"/>
      <c r="G6" s="1"/>
    </row>
    <row r="9" spans="1:8" x14ac:dyDescent="0.25">
      <c r="B9" s="53" t="s">
        <v>12</v>
      </c>
      <c r="C9" s="54"/>
      <c r="D9" s="54"/>
      <c r="E9" s="54"/>
      <c r="F9" s="54"/>
      <c r="G9" s="54"/>
      <c r="H9" s="55"/>
    </row>
    <row r="10" spans="1:8" x14ac:dyDescent="0.25">
      <c r="B10" s="2"/>
      <c r="C10" s="8" t="s">
        <v>7</v>
      </c>
      <c r="D10" s="8" t="s">
        <v>8</v>
      </c>
      <c r="E10" s="8" t="s">
        <v>9</v>
      </c>
      <c r="F10" s="8" t="s">
        <v>10</v>
      </c>
      <c r="G10" s="8" t="s">
        <v>11</v>
      </c>
      <c r="H10" s="11" t="s">
        <v>6</v>
      </c>
    </row>
    <row r="11" spans="1:8" x14ac:dyDescent="0.25">
      <c r="B11" s="9" t="s">
        <v>3</v>
      </c>
      <c r="C11" s="3">
        <v>23</v>
      </c>
      <c r="D11" s="3">
        <v>34</v>
      </c>
      <c r="E11" s="3">
        <v>4</v>
      </c>
      <c r="F11" s="3">
        <v>33</v>
      </c>
      <c r="G11" s="3">
        <v>20</v>
      </c>
      <c r="H11" s="4">
        <f>SUM(C11:G11)</f>
        <v>114</v>
      </c>
    </row>
    <row r="12" spans="1:8" x14ac:dyDescent="0.25">
      <c r="B12" s="9" t="s">
        <v>4</v>
      </c>
      <c r="C12" s="3">
        <v>40</v>
      </c>
      <c r="D12" s="3">
        <v>44</v>
      </c>
      <c r="E12" s="3">
        <v>33</v>
      </c>
      <c r="F12" s="3">
        <v>60</v>
      </c>
      <c r="G12" s="3">
        <v>30</v>
      </c>
      <c r="H12" s="4">
        <f t="shared" ref="H12:H13" si="0">SUM(C12:G12)</f>
        <v>207</v>
      </c>
    </row>
    <row r="13" spans="1:8" x14ac:dyDescent="0.25">
      <c r="B13" s="9" t="s">
        <v>5</v>
      </c>
      <c r="C13" s="3">
        <v>38</v>
      </c>
      <c r="D13" s="3">
        <v>39</v>
      </c>
      <c r="E13" s="3">
        <v>50</v>
      </c>
      <c r="F13" s="3">
        <v>32</v>
      </c>
      <c r="G13" s="3">
        <v>21</v>
      </c>
      <c r="H13" s="4">
        <f t="shared" si="0"/>
        <v>180</v>
      </c>
    </row>
    <row r="14" spans="1:8" x14ac:dyDescent="0.25">
      <c r="B14" s="10" t="s">
        <v>6</v>
      </c>
      <c r="C14" s="5">
        <f>SUM(C11:C13)</f>
        <v>101</v>
      </c>
      <c r="D14" s="5">
        <f t="shared" ref="D14" si="1">SUM(D11:D13)</f>
        <v>117</v>
      </c>
      <c r="E14" s="5">
        <f t="shared" ref="E14" si="2">SUM(E11:E13)</f>
        <v>87</v>
      </c>
      <c r="F14" s="5">
        <f t="shared" ref="F14" si="3">SUM(F11:F13)</f>
        <v>125</v>
      </c>
      <c r="G14" s="5">
        <f t="shared" ref="G14" si="4">SUM(G11:G13)</f>
        <v>71</v>
      </c>
      <c r="H14" s="6">
        <f t="shared" ref="H14" si="5">SUM(H11:H13)</f>
        <v>501</v>
      </c>
    </row>
  </sheetData>
  <mergeCells count="1"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workbookViewId="0">
      <selection activeCell="I12" sqref="I12"/>
    </sheetView>
  </sheetViews>
  <sheetFormatPr baseColWidth="10" defaultRowHeight="15" x14ac:dyDescent="0.25"/>
  <cols>
    <col min="3" max="3" width="5.85546875" bestFit="1" customWidth="1"/>
    <col min="4" max="4" width="12.42578125" bestFit="1" customWidth="1"/>
    <col min="5" max="5" width="7.5703125" bestFit="1" customWidth="1"/>
    <col min="6" max="6" width="14.28515625" bestFit="1" customWidth="1"/>
    <col min="7" max="7" width="12" bestFit="1" customWidth="1"/>
  </cols>
  <sheetData>
    <row r="1" spans="2:7" ht="15.75" thickBot="1" x14ac:dyDescent="0.3"/>
    <row r="2" spans="2:7" x14ac:dyDescent="0.25">
      <c r="B2" s="56" t="s">
        <v>13</v>
      </c>
      <c r="C2" s="57"/>
      <c r="D2" s="57"/>
      <c r="E2" s="57"/>
      <c r="F2" s="57"/>
      <c r="G2" s="58"/>
    </row>
    <row r="3" spans="2:7" x14ac:dyDescent="0.25">
      <c r="B3" s="12" t="s">
        <v>14</v>
      </c>
      <c r="C3" s="3" t="s">
        <v>15</v>
      </c>
      <c r="D3" s="3" t="s">
        <v>16</v>
      </c>
      <c r="E3" s="17" t="s">
        <v>17</v>
      </c>
      <c r="F3" s="17" t="s">
        <v>18</v>
      </c>
      <c r="G3" s="13" t="s">
        <v>19</v>
      </c>
    </row>
    <row r="4" spans="2:7" x14ac:dyDescent="0.25">
      <c r="B4" s="18">
        <v>1</v>
      </c>
      <c r="C4" s="19">
        <v>2</v>
      </c>
      <c r="D4" s="19" t="s">
        <v>20</v>
      </c>
      <c r="E4" s="19" t="s">
        <v>25</v>
      </c>
      <c r="F4" s="19" t="s">
        <v>26</v>
      </c>
      <c r="G4" s="20" t="s">
        <v>30</v>
      </c>
    </row>
    <row r="5" spans="2:7" x14ac:dyDescent="0.25">
      <c r="B5" s="18">
        <v>2</v>
      </c>
      <c r="C5" s="19">
        <v>4</v>
      </c>
      <c r="D5" s="19" t="s">
        <v>21</v>
      </c>
      <c r="E5" s="19" t="s">
        <v>24</v>
      </c>
      <c r="F5" s="19" t="s">
        <v>20</v>
      </c>
      <c r="G5" s="20" t="s">
        <v>31</v>
      </c>
    </row>
    <row r="6" spans="2:7" x14ac:dyDescent="0.25">
      <c r="B6" s="12">
        <v>3</v>
      </c>
      <c r="C6" s="3">
        <v>6</v>
      </c>
      <c r="D6" s="3" t="s">
        <v>22</v>
      </c>
      <c r="E6" s="3" t="s">
        <v>25</v>
      </c>
      <c r="F6" s="3" t="s">
        <v>27</v>
      </c>
      <c r="G6" s="13" t="s">
        <v>21</v>
      </c>
    </row>
    <row r="7" spans="2:7" x14ac:dyDescent="0.25">
      <c r="B7" s="12">
        <v>4</v>
      </c>
      <c r="C7" s="3">
        <v>8</v>
      </c>
      <c r="D7" s="3" t="s">
        <v>23</v>
      </c>
      <c r="E7" s="3" t="s">
        <v>24</v>
      </c>
      <c r="F7" s="3" t="s">
        <v>28</v>
      </c>
      <c r="G7" s="13" t="s">
        <v>32</v>
      </c>
    </row>
    <row r="8" spans="2:7" x14ac:dyDescent="0.25">
      <c r="B8" s="12">
        <v>5</v>
      </c>
      <c r="C8" s="3">
        <v>10</v>
      </c>
      <c r="D8" s="3" t="s">
        <v>20</v>
      </c>
      <c r="E8" s="3" t="s">
        <v>25</v>
      </c>
      <c r="F8" s="3" t="s">
        <v>22</v>
      </c>
      <c r="G8" s="13" t="s">
        <v>33</v>
      </c>
    </row>
    <row r="9" spans="2:7" x14ac:dyDescent="0.25">
      <c r="B9" s="12">
        <v>6</v>
      </c>
      <c r="C9" s="3">
        <v>12</v>
      </c>
      <c r="D9" s="3" t="s">
        <v>21</v>
      </c>
      <c r="E9" s="3" t="s">
        <v>24</v>
      </c>
      <c r="F9" s="3" t="s">
        <v>29</v>
      </c>
      <c r="G9" s="13" t="s">
        <v>23</v>
      </c>
    </row>
    <row r="10" spans="2:7" x14ac:dyDescent="0.25">
      <c r="B10" s="12">
        <v>7</v>
      </c>
      <c r="C10" s="3">
        <v>14</v>
      </c>
      <c r="D10" s="3" t="s">
        <v>22</v>
      </c>
      <c r="E10" s="3" t="s">
        <v>25</v>
      </c>
      <c r="F10" s="3" t="s">
        <v>26</v>
      </c>
      <c r="G10" s="13" t="s">
        <v>34</v>
      </c>
    </row>
    <row r="11" spans="2:7" x14ac:dyDescent="0.25">
      <c r="B11" s="12">
        <v>8</v>
      </c>
      <c r="C11" s="3">
        <v>16</v>
      </c>
      <c r="D11" s="3" t="s">
        <v>23</v>
      </c>
      <c r="E11" s="3" t="s">
        <v>24</v>
      </c>
      <c r="F11" s="3" t="s">
        <v>20</v>
      </c>
      <c r="G11" s="13" t="s">
        <v>31</v>
      </c>
    </row>
    <row r="12" spans="2:7" x14ac:dyDescent="0.25">
      <c r="B12" s="12">
        <v>9</v>
      </c>
      <c r="C12" s="3">
        <v>18</v>
      </c>
      <c r="D12" s="3" t="s">
        <v>20</v>
      </c>
      <c r="E12" s="3" t="s">
        <v>25</v>
      </c>
      <c r="F12" s="3" t="s">
        <v>27</v>
      </c>
      <c r="G12" s="13" t="s">
        <v>21</v>
      </c>
    </row>
    <row r="13" spans="2:7" ht="15.75" thickBot="1" x14ac:dyDescent="0.3">
      <c r="B13" s="14">
        <v>10</v>
      </c>
      <c r="C13" s="15">
        <v>20</v>
      </c>
      <c r="D13" s="15" t="s">
        <v>21</v>
      </c>
      <c r="E13" s="15" t="s">
        <v>24</v>
      </c>
      <c r="F13" s="15" t="s">
        <v>28</v>
      </c>
      <c r="G13" s="16" t="s">
        <v>32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opLeftCell="A4" workbookViewId="0">
      <selection activeCell="D19" sqref="D19"/>
    </sheetView>
  </sheetViews>
  <sheetFormatPr baseColWidth="10" defaultRowHeight="15" x14ac:dyDescent="0.25"/>
  <cols>
    <col min="3" max="3" width="12.7109375" customWidth="1"/>
    <col min="5" max="5" width="12" customWidth="1"/>
    <col min="6" max="6" width="14.5703125" customWidth="1"/>
  </cols>
  <sheetData>
    <row r="2" spans="2:9" x14ac:dyDescent="0.25">
      <c r="B2" s="59" t="s">
        <v>35</v>
      </c>
      <c r="C2" s="59"/>
      <c r="D2" s="59"/>
      <c r="E2" s="59"/>
      <c r="F2" s="59"/>
      <c r="G2" s="59"/>
      <c r="H2" s="59"/>
      <c r="I2" s="21"/>
    </row>
    <row r="3" spans="2:9" ht="47.25" customHeight="1" x14ac:dyDescent="0.25">
      <c r="B3" s="22" t="s">
        <v>36</v>
      </c>
      <c r="C3" s="23" t="s">
        <v>41</v>
      </c>
      <c r="D3" s="23" t="s">
        <v>37</v>
      </c>
      <c r="E3" s="24" t="s">
        <v>38</v>
      </c>
      <c r="F3" s="24" t="s">
        <v>42</v>
      </c>
      <c r="G3" s="24" t="s">
        <v>39</v>
      </c>
      <c r="H3" s="24" t="s">
        <v>40</v>
      </c>
      <c r="I3" s="3"/>
    </row>
    <row r="4" spans="2:9" x14ac:dyDescent="0.25">
      <c r="B4" s="25" t="s">
        <v>43</v>
      </c>
      <c r="C4" s="26">
        <v>2</v>
      </c>
      <c r="D4" s="26">
        <v>6</v>
      </c>
      <c r="E4" s="26">
        <v>5</v>
      </c>
      <c r="F4" s="27">
        <v>3</v>
      </c>
      <c r="G4" s="27">
        <v>3</v>
      </c>
      <c r="H4" s="26">
        <v>5</v>
      </c>
      <c r="I4" s="3"/>
    </row>
    <row r="5" spans="2:9" x14ac:dyDescent="0.25">
      <c r="B5" s="25" t="s">
        <v>44</v>
      </c>
      <c r="C5" s="26">
        <v>8</v>
      </c>
      <c r="D5" s="26">
        <v>9</v>
      </c>
      <c r="E5" s="26">
        <v>5</v>
      </c>
      <c r="F5" s="27">
        <v>4</v>
      </c>
      <c r="G5" s="27">
        <v>7</v>
      </c>
      <c r="H5" s="26">
        <v>6</v>
      </c>
      <c r="I5" s="3"/>
    </row>
    <row r="6" spans="2:9" x14ac:dyDescent="0.25">
      <c r="B6" s="25" t="s">
        <v>45</v>
      </c>
      <c r="C6" s="26">
        <v>3</v>
      </c>
      <c r="D6" s="26">
        <v>9</v>
      </c>
      <c r="E6" s="26">
        <v>6</v>
      </c>
      <c r="F6" s="27">
        <v>8</v>
      </c>
      <c r="G6" s="27">
        <v>6</v>
      </c>
      <c r="H6" s="26">
        <v>8</v>
      </c>
      <c r="I6" s="3"/>
    </row>
    <row r="7" spans="2:9" x14ac:dyDescent="0.25">
      <c r="B7" s="25" t="s">
        <v>0</v>
      </c>
      <c r="C7" s="27">
        <v>6</v>
      </c>
      <c r="D7" s="27">
        <v>10</v>
      </c>
      <c r="E7" s="27">
        <v>7</v>
      </c>
      <c r="F7" s="27">
        <v>7</v>
      </c>
      <c r="G7" s="27">
        <v>4</v>
      </c>
      <c r="H7" s="26">
        <v>4</v>
      </c>
      <c r="I7" s="3"/>
    </row>
    <row r="8" spans="2:9" x14ac:dyDescent="0.25">
      <c r="B8" s="25" t="s">
        <v>46</v>
      </c>
      <c r="C8" s="27">
        <v>7</v>
      </c>
      <c r="D8" s="27">
        <v>8</v>
      </c>
      <c r="E8" s="27">
        <v>8</v>
      </c>
      <c r="F8" s="27">
        <v>6</v>
      </c>
      <c r="G8" s="27">
        <v>2</v>
      </c>
      <c r="H8" s="26">
        <v>7</v>
      </c>
      <c r="I8" s="3"/>
    </row>
    <row r="9" spans="2:9" x14ac:dyDescent="0.25">
      <c r="B9" s="25" t="s">
        <v>47</v>
      </c>
      <c r="C9" s="27">
        <v>8</v>
      </c>
      <c r="D9" s="27">
        <v>4</v>
      </c>
      <c r="E9" s="27">
        <v>2</v>
      </c>
      <c r="F9" s="27">
        <v>5</v>
      </c>
      <c r="G9" s="27">
        <v>5</v>
      </c>
      <c r="H9" s="26">
        <v>5</v>
      </c>
      <c r="I9" s="3"/>
    </row>
    <row r="10" spans="2:9" x14ac:dyDescent="0.25">
      <c r="B10" s="25" t="s">
        <v>48</v>
      </c>
      <c r="C10" s="27">
        <v>9</v>
      </c>
      <c r="D10" s="27">
        <v>6</v>
      </c>
      <c r="E10" s="27">
        <v>7</v>
      </c>
      <c r="F10" s="27">
        <v>2</v>
      </c>
      <c r="G10" s="27">
        <v>7</v>
      </c>
      <c r="H10" s="26">
        <v>7</v>
      </c>
      <c r="I10" s="3"/>
    </row>
    <row r="11" spans="2:9" x14ac:dyDescent="0.25">
      <c r="B11" s="25" t="s">
        <v>49</v>
      </c>
      <c r="C11" s="27">
        <v>4</v>
      </c>
      <c r="D11" s="27">
        <v>5</v>
      </c>
      <c r="E11" s="27">
        <v>3</v>
      </c>
      <c r="F11" s="27">
        <v>7</v>
      </c>
      <c r="G11" s="27">
        <v>9</v>
      </c>
      <c r="H11" s="26">
        <v>6</v>
      </c>
      <c r="I11" s="3"/>
    </row>
    <row r="12" spans="2:9" x14ac:dyDescent="0.25">
      <c r="B12" s="25" t="s">
        <v>50</v>
      </c>
      <c r="C12" s="26">
        <v>6</v>
      </c>
      <c r="D12" s="26">
        <v>1</v>
      </c>
      <c r="E12" s="26">
        <v>5</v>
      </c>
      <c r="F12" s="26">
        <v>4</v>
      </c>
      <c r="G12" s="26">
        <v>4</v>
      </c>
      <c r="H12" s="26">
        <v>5</v>
      </c>
      <c r="I12" s="3"/>
    </row>
  </sheetData>
  <mergeCells count="1">
    <mergeCell ref="B2:H2"/>
  </mergeCells>
  <conditionalFormatting sqref="C4:H12">
    <cfRule type="cellIs" dxfId="8" priority="1" operator="greaterThan">
      <formula>8</formula>
    </cfRule>
    <cfRule type="cellIs" dxfId="7" priority="2" operator="equal">
      <formula>8</formula>
    </cfRule>
    <cfRule type="cellIs" dxfId="6" priority="3" operator="less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topLeftCell="B1" workbookViewId="0">
      <selection activeCell="H18" sqref="H18"/>
    </sheetView>
  </sheetViews>
  <sheetFormatPr baseColWidth="10" defaultRowHeight="15" x14ac:dyDescent="0.25"/>
  <cols>
    <col min="1" max="1" width="17.5703125" bestFit="1" customWidth="1"/>
    <col min="3" max="3" width="5.140625" customWidth="1"/>
    <col min="5" max="5" width="4.7109375" customWidth="1"/>
    <col min="7" max="7" width="5.42578125" customWidth="1"/>
    <col min="9" max="9" width="5.140625" customWidth="1"/>
  </cols>
  <sheetData>
    <row r="3" spans="1:11" ht="15.75" thickBot="1" x14ac:dyDescent="0.3"/>
    <row r="4" spans="1:11" ht="15.75" thickBot="1" x14ac:dyDescent="0.3">
      <c r="C4" s="60" t="s">
        <v>1</v>
      </c>
      <c r="D4" s="61"/>
      <c r="E4" s="60" t="s">
        <v>2</v>
      </c>
      <c r="F4" s="61"/>
      <c r="G4" s="60" t="s">
        <v>57</v>
      </c>
      <c r="H4" s="61"/>
      <c r="I4" s="60" t="s">
        <v>58</v>
      </c>
      <c r="J4" s="61"/>
      <c r="K4" s="30"/>
    </row>
    <row r="5" spans="1:11" ht="15.75" thickTop="1" x14ac:dyDescent="0.25">
      <c r="A5" s="45" t="s">
        <v>51</v>
      </c>
      <c r="B5" s="28">
        <v>12.99</v>
      </c>
      <c r="C5" s="32">
        <v>12</v>
      </c>
      <c r="D5" s="33">
        <f>PRODUCT(B5:C5)</f>
        <v>155.88</v>
      </c>
      <c r="E5" s="32">
        <v>13</v>
      </c>
      <c r="F5" s="33">
        <f>PRODUCT(B5*E5)</f>
        <v>168.87</v>
      </c>
      <c r="G5" s="32">
        <v>14</v>
      </c>
      <c r="H5" s="33">
        <f>PRODUCT(B5*G5)</f>
        <v>181.86</v>
      </c>
      <c r="I5" s="32">
        <v>15</v>
      </c>
      <c r="J5" s="34">
        <f>PRODUCT(B5*I5)</f>
        <v>194.85</v>
      </c>
      <c r="K5" s="41">
        <f>SUM(D5+F5+H5+J5)</f>
        <v>701.46</v>
      </c>
    </row>
    <row r="6" spans="1:11" x14ac:dyDescent="0.25">
      <c r="A6" s="45" t="s">
        <v>52</v>
      </c>
      <c r="B6" s="28">
        <v>9.99</v>
      </c>
      <c r="C6" s="12">
        <v>4</v>
      </c>
      <c r="D6" s="29">
        <f t="shared" ref="D6:D10" si="0">PRODUCT(B6:C6)</f>
        <v>39.96</v>
      </c>
      <c r="E6" s="12">
        <v>2</v>
      </c>
      <c r="F6" s="29">
        <f t="shared" ref="F6:F10" si="1">PRODUCT(B6*E6)</f>
        <v>19.98</v>
      </c>
      <c r="G6" s="12">
        <v>0</v>
      </c>
      <c r="H6" s="29">
        <f t="shared" ref="H6:H10" si="2">PRODUCT(B6*G6)</f>
        <v>0</v>
      </c>
      <c r="I6" s="12">
        <v>1</v>
      </c>
      <c r="J6" s="35">
        <f t="shared" ref="J6:J10" si="3">PRODUCT(B6*I6)</f>
        <v>9.99</v>
      </c>
      <c r="K6" s="42">
        <f t="shared" ref="K6:K10" si="4">SUM(D6+F6+H6+J6)</f>
        <v>69.929999999999993</v>
      </c>
    </row>
    <row r="7" spans="1:11" x14ac:dyDescent="0.25">
      <c r="A7" s="45" t="s">
        <v>53</v>
      </c>
      <c r="B7" s="28">
        <v>14.99</v>
      </c>
      <c r="C7" s="12">
        <v>7</v>
      </c>
      <c r="D7" s="29">
        <f t="shared" si="0"/>
        <v>104.93</v>
      </c>
      <c r="E7" s="12">
        <v>9</v>
      </c>
      <c r="F7" s="29">
        <f t="shared" si="1"/>
        <v>134.91</v>
      </c>
      <c r="G7" s="12">
        <v>6</v>
      </c>
      <c r="H7" s="29">
        <f t="shared" si="2"/>
        <v>89.94</v>
      </c>
      <c r="I7" s="12">
        <v>9</v>
      </c>
      <c r="J7" s="35">
        <f t="shared" si="3"/>
        <v>134.91</v>
      </c>
      <c r="K7" s="42">
        <f t="shared" si="4"/>
        <v>464.68999999999994</v>
      </c>
    </row>
    <row r="8" spans="1:11" x14ac:dyDescent="0.25">
      <c r="A8" s="45" t="s">
        <v>54</v>
      </c>
      <c r="B8" s="28">
        <v>5.99</v>
      </c>
      <c r="C8" s="12">
        <v>2</v>
      </c>
      <c r="D8" s="29">
        <f t="shared" si="0"/>
        <v>11.98</v>
      </c>
      <c r="E8" s="12">
        <v>1</v>
      </c>
      <c r="F8" s="29">
        <f t="shared" si="1"/>
        <v>5.99</v>
      </c>
      <c r="G8" s="12">
        <v>0</v>
      </c>
      <c r="H8" s="29">
        <f t="shared" si="2"/>
        <v>0</v>
      </c>
      <c r="I8" s="12">
        <v>9</v>
      </c>
      <c r="J8" s="35">
        <f t="shared" si="3"/>
        <v>53.910000000000004</v>
      </c>
      <c r="K8" s="42">
        <f t="shared" si="4"/>
        <v>71.88</v>
      </c>
    </row>
    <row r="9" spans="1:11" x14ac:dyDescent="0.25">
      <c r="A9" s="45" t="s">
        <v>56</v>
      </c>
      <c r="B9" s="28">
        <v>11.99</v>
      </c>
      <c r="C9" s="12">
        <v>17</v>
      </c>
      <c r="D9" s="29">
        <f t="shared" si="0"/>
        <v>203.83</v>
      </c>
      <c r="E9" s="12">
        <v>15</v>
      </c>
      <c r="F9" s="29">
        <f t="shared" si="1"/>
        <v>179.85</v>
      </c>
      <c r="G9" s="12">
        <v>17</v>
      </c>
      <c r="H9" s="29">
        <f t="shared" si="2"/>
        <v>203.83</v>
      </c>
      <c r="I9" s="12">
        <v>11</v>
      </c>
      <c r="J9" s="35">
        <f t="shared" si="3"/>
        <v>131.89000000000001</v>
      </c>
      <c r="K9" s="42">
        <f t="shared" si="4"/>
        <v>719.4</v>
      </c>
    </row>
    <row r="10" spans="1:11" ht="15.75" thickBot="1" x14ac:dyDescent="0.3">
      <c r="A10" s="45" t="s">
        <v>55</v>
      </c>
      <c r="B10" s="28">
        <v>13.99</v>
      </c>
      <c r="C10" s="14">
        <v>15</v>
      </c>
      <c r="D10" s="31">
        <f t="shared" si="0"/>
        <v>209.85</v>
      </c>
      <c r="E10" s="14">
        <v>23</v>
      </c>
      <c r="F10" s="31">
        <f t="shared" si="1"/>
        <v>321.77</v>
      </c>
      <c r="G10" s="14">
        <v>9</v>
      </c>
      <c r="H10" s="31">
        <f t="shared" si="2"/>
        <v>125.91</v>
      </c>
      <c r="I10" s="14">
        <v>12</v>
      </c>
      <c r="J10" s="36">
        <f t="shared" si="3"/>
        <v>167.88</v>
      </c>
      <c r="K10" s="43">
        <f t="shared" si="4"/>
        <v>825.41</v>
      </c>
    </row>
    <row r="11" spans="1:11" ht="15.75" thickBot="1" x14ac:dyDescent="0.3">
      <c r="C11" s="3"/>
      <c r="D11" s="39">
        <f>SUM(D5:D10)</f>
        <v>726.43000000000006</v>
      </c>
      <c r="E11" s="37"/>
      <c r="F11" s="39">
        <f>SUM(F5:F10)</f>
        <v>831.37</v>
      </c>
      <c r="G11" s="38"/>
      <c r="H11" s="39">
        <f>SUM(H5:H10)</f>
        <v>601.54</v>
      </c>
      <c r="I11" s="38"/>
      <c r="J11" s="40">
        <f>SUM(J5:J10)</f>
        <v>693.43000000000006</v>
      </c>
      <c r="K11" s="44">
        <f>SUM(K5:K10)</f>
        <v>2852.77</v>
      </c>
    </row>
    <row r="12" spans="1:11" ht="15.75" thickTop="1" x14ac:dyDescent="0.25"/>
    <row r="13" spans="1:11" x14ac:dyDescent="0.25">
      <c r="H13" s="46"/>
    </row>
  </sheetData>
  <mergeCells count="4">
    <mergeCell ref="C4:D4"/>
    <mergeCell ref="E4:F4"/>
    <mergeCell ref="G4:H4"/>
    <mergeCell ref="I4:J4"/>
  </mergeCells>
  <conditionalFormatting sqref="C5:C10">
    <cfRule type="cellIs" dxfId="5" priority="6" operator="lessThan">
      <formula>5</formula>
    </cfRule>
  </conditionalFormatting>
  <conditionalFormatting sqref="E5:E10">
    <cfRule type="cellIs" dxfId="4" priority="5" operator="lessThan">
      <formula>5</formula>
    </cfRule>
  </conditionalFormatting>
  <conditionalFormatting sqref="G5:G10">
    <cfRule type="cellIs" dxfId="3" priority="4" operator="lessThan">
      <formula>5</formula>
    </cfRule>
  </conditionalFormatting>
  <conditionalFormatting sqref="I5:I10">
    <cfRule type="cellIs" dxfId="2" priority="3" operator="lessThan">
      <formula>5</formula>
    </cfRule>
  </conditionalFormatting>
  <conditionalFormatting sqref="D11:J11">
    <cfRule type="cellIs" dxfId="1" priority="1" operator="equal">
      <formula>700</formula>
    </cfRule>
    <cfRule type="cellIs" dxfId="0" priority="2" operator="greaterThan">
      <formula>700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abSelected="1" workbookViewId="0">
      <selection activeCell="I14" sqref="I14"/>
    </sheetView>
  </sheetViews>
  <sheetFormatPr baseColWidth="10" defaultRowHeight="15" x14ac:dyDescent="0.25"/>
  <cols>
    <col min="2" max="2" width="16.7109375" bestFit="1" customWidth="1"/>
    <col min="5" max="5" width="11" bestFit="1" customWidth="1"/>
    <col min="6" max="6" width="14.7109375" bestFit="1" customWidth="1"/>
  </cols>
  <sheetData>
    <row r="2" spans="2:8" x14ac:dyDescent="0.25">
      <c r="B2" s="62" t="s">
        <v>59</v>
      </c>
      <c r="C2" s="62"/>
      <c r="D2" s="62"/>
      <c r="E2" s="62"/>
      <c r="F2" s="62"/>
    </row>
    <row r="3" spans="2:8" x14ac:dyDescent="0.25">
      <c r="B3" s="62" t="s">
        <v>60</v>
      </c>
      <c r="C3" s="62"/>
      <c r="D3" s="62"/>
      <c r="E3" s="62"/>
      <c r="F3" s="62"/>
    </row>
    <row r="5" spans="2:8" x14ac:dyDescent="0.25">
      <c r="B5" s="48" t="s">
        <v>61</v>
      </c>
      <c r="E5" s="52"/>
      <c r="F5" s="63">
        <f ca="1">NOW()</f>
        <v>44573.39516724537</v>
      </c>
    </row>
    <row r="7" spans="2:8" x14ac:dyDescent="0.25">
      <c r="B7" s="50" t="s">
        <v>62</v>
      </c>
      <c r="C7" s="50" t="s">
        <v>63</v>
      </c>
      <c r="D7" s="50" t="s">
        <v>64</v>
      </c>
      <c r="E7" s="50" t="s">
        <v>65</v>
      </c>
      <c r="F7" s="50" t="s">
        <v>66</v>
      </c>
    </row>
    <row r="8" spans="2:8" x14ac:dyDescent="0.25">
      <c r="B8" t="s">
        <v>51</v>
      </c>
      <c r="C8">
        <v>2</v>
      </c>
      <c r="D8" s="30">
        <v>12.99</v>
      </c>
      <c r="E8" s="47">
        <v>0.05</v>
      </c>
      <c r="F8" s="30">
        <f>(C8*D8)-(C8*D8*E8)</f>
        <v>24.681000000000001</v>
      </c>
    </row>
    <row r="9" spans="2:8" x14ac:dyDescent="0.25">
      <c r="B9" t="s">
        <v>52</v>
      </c>
      <c r="C9">
        <v>3</v>
      </c>
      <c r="D9" s="30">
        <v>9.99</v>
      </c>
      <c r="E9" s="47">
        <v>7.0000000000000007E-2</v>
      </c>
      <c r="F9" s="30">
        <f t="shared" ref="F9:F13" si="0">(C9*D9)-(C9*D9*E9)</f>
        <v>27.8721</v>
      </c>
    </row>
    <row r="10" spans="2:8" x14ac:dyDescent="0.25">
      <c r="B10" t="s">
        <v>53</v>
      </c>
      <c r="C10">
        <v>5</v>
      </c>
      <c r="D10" s="30">
        <v>14.99</v>
      </c>
      <c r="E10" s="47">
        <v>0.05</v>
      </c>
      <c r="F10" s="30">
        <f t="shared" si="0"/>
        <v>71.202500000000001</v>
      </c>
    </row>
    <row r="11" spans="2:8" x14ac:dyDescent="0.25">
      <c r="B11" t="s">
        <v>54</v>
      </c>
      <c r="C11">
        <v>2</v>
      </c>
      <c r="D11" s="30">
        <v>5.99</v>
      </c>
      <c r="E11" s="47">
        <v>0.1</v>
      </c>
      <c r="F11" s="30">
        <f t="shared" si="0"/>
        <v>10.782</v>
      </c>
    </row>
    <row r="12" spans="2:8" x14ac:dyDescent="0.25">
      <c r="B12" s="1" t="s">
        <v>55</v>
      </c>
      <c r="C12">
        <v>2</v>
      </c>
      <c r="D12" s="30">
        <v>11.99</v>
      </c>
      <c r="E12" s="47">
        <v>0.1</v>
      </c>
      <c r="F12" s="30">
        <f t="shared" si="0"/>
        <v>21.582000000000001</v>
      </c>
    </row>
    <row r="13" spans="2:8" x14ac:dyDescent="0.25">
      <c r="B13" s="1" t="s">
        <v>56</v>
      </c>
      <c r="C13">
        <v>6</v>
      </c>
      <c r="D13" s="30">
        <v>13.99</v>
      </c>
      <c r="E13" s="47">
        <v>0.05</v>
      </c>
      <c r="F13" s="30">
        <f t="shared" si="0"/>
        <v>79.742999999999995</v>
      </c>
    </row>
    <row r="14" spans="2:8" ht="15.75" thickBot="1" x14ac:dyDescent="0.3"/>
    <row r="15" spans="2:8" ht="15.75" thickBot="1" x14ac:dyDescent="0.3">
      <c r="B15" s="49" t="s">
        <v>67</v>
      </c>
      <c r="F15" s="51">
        <f>SUM(F8:F14)</f>
        <v>235.86259999999999</v>
      </c>
    </row>
    <row r="16" spans="2:8" ht="15.75" thickBot="1" x14ac:dyDescent="0.3">
      <c r="B16" s="49" t="s">
        <v>68</v>
      </c>
      <c r="F16" s="64">
        <v>42.46</v>
      </c>
      <c r="H16" s="30"/>
    </row>
    <row r="17" spans="2:8" ht="15.75" thickBot="1" x14ac:dyDescent="0.3">
      <c r="B17" s="49" t="s">
        <v>69</v>
      </c>
      <c r="F17" s="51">
        <f>SUM(F15+F16)</f>
        <v>278.32259999999997</v>
      </c>
      <c r="H17" s="30"/>
    </row>
  </sheetData>
  <mergeCells count="2">
    <mergeCell ref="B2:F2"/>
    <mergeCell ref="B3:F3"/>
  </mergeCells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2022-01-11T06:36:42Z</dcterms:created>
  <dcterms:modified xsi:type="dcterms:W3CDTF">2022-01-12T08:29:09Z</dcterms:modified>
</cp:coreProperties>
</file>