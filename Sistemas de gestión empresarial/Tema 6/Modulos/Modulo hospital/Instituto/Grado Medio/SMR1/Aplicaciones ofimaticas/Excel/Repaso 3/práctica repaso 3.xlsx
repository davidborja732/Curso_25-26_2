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licaciones ofimaticas\Excel\Repaso 3\"/>
    </mc:Choice>
  </mc:AlternateContent>
  <bookViews>
    <workbookView xWindow="0" yWindow="0" windowWidth="11520" windowHeight="7515" activeTab="2"/>
  </bookViews>
  <sheets>
    <sheet name="Presentación" sheetId="2" r:id="rId1"/>
    <sheet name="Precipitaciones 2021" sheetId="6" r:id="rId2"/>
    <sheet name="Búsqueda" sheetId="7" r:id="rId3"/>
  </sheets>
  <calcPr calcId="162913"/>
</workbook>
</file>

<file path=xl/calcChain.xml><?xml version="1.0" encoding="utf-8"?>
<calcChain xmlns="http://schemas.openxmlformats.org/spreadsheetml/2006/main">
  <c r="D13" i="7" l="1"/>
  <c r="E12" i="7"/>
  <c r="B3" i="6"/>
  <c r="N6" i="6" l="1"/>
  <c r="F9" i="7"/>
  <c r="F8" i="7"/>
  <c r="F7" i="7"/>
  <c r="F6" i="7"/>
  <c r="B16" i="7"/>
  <c r="B15" i="7"/>
  <c r="B14" i="7"/>
  <c r="B13" i="7"/>
  <c r="B12" i="7"/>
  <c r="B11" i="7"/>
  <c r="B10" i="7"/>
  <c r="B9" i="7"/>
  <c r="B8" i="7"/>
  <c r="B7" i="7"/>
  <c r="B6" i="7"/>
  <c r="B5" i="7"/>
  <c r="E11" i="7"/>
  <c r="C22" i="6"/>
  <c r="D22" i="6"/>
  <c r="E22" i="6"/>
  <c r="F22" i="6"/>
  <c r="G22" i="6"/>
  <c r="B22" i="6"/>
  <c r="C21" i="6"/>
  <c r="D21" i="6"/>
  <c r="E21" i="6"/>
  <c r="F21" i="6"/>
  <c r="G21" i="6"/>
  <c r="B21" i="6"/>
  <c r="C20" i="6"/>
  <c r="D20" i="6"/>
  <c r="E20" i="6"/>
  <c r="F20" i="6"/>
  <c r="G20" i="6"/>
  <c r="B20" i="6"/>
  <c r="C19" i="6"/>
  <c r="D19" i="6"/>
  <c r="E19" i="6"/>
  <c r="F19" i="6"/>
  <c r="G19" i="6"/>
  <c r="B19" i="6"/>
  <c r="N7" i="6"/>
  <c r="N8" i="6"/>
  <c r="N21" i="6" s="1"/>
  <c r="N9" i="6"/>
  <c r="N10" i="6"/>
  <c r="N11" i="6"/>
  <c r="N12" i="6"/>
  <c r="N13" i="6"/>
  <c r="N14" i="6"/>
  <c r="N15" i="6"/>
  <c r="N16" i="6"/>
  <c r="N17" i="6"/>
  <c r="N19" i="6"/>
  <c r="J7" i="6"/>
  <c r="J8" i="6"/>
  <c r="J9" i="6"/>
  <c r="J10" i="6"/>
  <c r="J11" i="6"/>
  <c r="J12" i="6"/>
  <c r="J13" i="6"/>
  <c r="J14" i="6"/>
  <c r="J15" i="6"/>
  <c r="J16" i="6"/>
  <c r="J17" i="6"/>
  <c r="J6" i="6"/>
  <c r="L7" i="6"/>
  <c r="L8" i="6"/>
  <c r="L9" i="6"/>
  <c r="L10" i="6"/>
  <c r="L11" i="6"/>
  <c r="L12" i="6"/>
  <c r="L13" i="6"/>
  <c r="L14" i="6"/>
  <c r="L15" i="6"/>
  <c r="L16" i="6"/>
  <c r="L17" i="6"/>
  <c r="K7" i="6"/>
  <c r="K8" i="6"/>
  <c r="K9" i="6"/>
  <c r="K10" i="6"/>
  <c r="K11" i="6"/>
  <c r="K12" i="6"/>
  <c r="K13" i="6"/>
  <c r="K14" i="6"/>
  <c r="K15" i="6"/>
  <c r="K16" i="6"/>
  <c r="K17" i="6"/>
  <c r="L6" i="6"/>
  <c r="K6" i="6"/>
  <c r="I7" i="6"/>
  <c r="I8" i="6"/>
  <c r="I9" i="6"/>
  <c r="I10" i="6"/>
  <c r="I11" i="6"/>
  <c r="I12" i="6"/>
  <c r="I13" i="6"/>
  <c r="I14" i="6"/>
  <c r="I15" i="6"/>
  <c r="I16" i="6"/>
  <c r="I17" i="6"/>
  <c r="I6" i="6"/>
  <c r="N20" i="6" l="1"/>
</calcChain>
</file>

<file path=xl/sharedStrings.xml><?xml version="1.0" encoding="utf-8"?>
<sst xmlns="http://schemas.openxmlformats.org/spreadsheetml/2006/main" count="57" uniqueCount="41">
  <si>
    <t>TOTAL</t>
  </si>
  <si>
    <t>Madrid</t>
  </si>
  <si>
    <t>Barcelona</t>
  </si>
  <si>
    <t>Valencia</t>
  </si>
  <si>
    <t>Bilbao</t>
  </si>
  <si>
    <t>Teruel</t>
  </si>
  <si>
    <t>Enero</t>
  </si>
  <si>
    <t>Abril</t>
  </si>
  <si>
    <t>Mayo</t>
  </si>
  <si>
    <t>Julio</t>
  </si>
  <si>
    <t>Agosto</t>
  </si>
  <si>
    <t>Septiembre</t>
  </si>
  <si>
    <t>Noviembre</t>
  </si>
  <si>
    <t>Febrero</t>
  </si>
  <si>
    <t>Marzo</t>
  </si>
  <si>
    <t>Junio</t>
  </si>
  <si>
    <t>Octubre</t>
  </si>
  <si>
    <t>Diciembre</t>
  </si>
  <si>
    <t>MEDIA</t>
  </si>
  <si>
    <t>MÁXIMA</t>
  </si>
  <si>
    <t>MÍNIMA</t>
  </si>
  <si>
    <t>INFORME</t>
  </si>
  <si>
    <t>Número de meses secos</t>
  </si>
  <si>
    <t>Número de meses húmedos</t>
  </si>
  <si>
    <t>Número de meses muy húmedos</t>
  </si>
  <si>
    <t>Estudiadas</t>
  </si>
  <si>
    <t>ciudades, se obtienen los siguientes datos:</t>
  </si>
  <si>
    <t>Busca tu ciudad</t>
  </si>
  <si>
    <t>Media de precipitaciones</t>
  </si>
  <si>
    <t>Total de precipitaciones</t>
  </si>
  <si>
    <t>Precipitaciones máximas</t>
  </si>
  <si>
    <t>Precipitaciones mínimas</t>
  </si>
  <si>
    <t xml:space="preserve">Con un total de </t>
  </si>
  <si>
    <t xml:space="preserve">el año para </t>
  </si>
  <si>
    <t>ha sido</t>
  </si>
  <si>
    <t>Sevilla</t>
  </si>
  <si>
    <t>precipitaciones,</t>
  </si>
  <si>
    <t>PRECIPITACIONES ESPAÑA 2020</t>
  </si>
  <si>
    <t>PRECIPITACIONES 2021
en ESPAÑA</t>
  </si>
  <si>
    <t>PRECIPITACIONES ESPAÑA 2021</t>
  </si>
  <si>
    <t>teruel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</si>
</sst>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Comic Sans MS"/>
      <family val="4"/>
    </font>
    <font>
      <b/>
      <sz val="10"/>
      <name val="Comic Sans MS"/>
      <family val="4"/>
    </font>
    <font>
      <b/>
      <sz val="11"/>
      <color theme="1"/>
      <name val="Calibri"/>
      <family val="2"/>
      <scheme val="minor"/>
    </font>
    <font>
      <sz val="12"/>
      <color theme="0"/>
      <name val="Comic Sans MS"/>
      <family val="4"/>
    </font>
    <font>
      <b/>
      <sz val="12"/>
      <color theme="0"/>
      <name val="Comic Sans MS"/>
      <family val="4"/>
    </font>
    <font>
      <sz val="14"/>
      <color theme="0"/>
      <name val="Calibri"/>
      <family val="2"/>
      <scheme val="minor"/>
    </font>
    <font>
      <sz val="36"/>
      <color theme="0"/>
      <name val="Broadway"/>
      <family val="5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4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4" fillId="2" borderId="0" xfId="0" applyFont="1" applyFill="1"/>
    <xf numFmtId="0" fontId="2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Fill="1"/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3" fillId="0" borderId="0" xfId="0" applyFont="1" applyFill="1"/>
    <xf numFmtId="2" fontId="3" fillId="0" borderId="0" xfId="0" applyNumberFormat="1" applyFont="1" applyFill="1"/>
    <xf numFmtId="0" fontId="5" fillId="2" borderId="0" xfId="0" applyFont="1" applyFill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6" fillId="0" borderId="0" xfId="0" applyFont="1" applyFill="1" applyAlignment="1"/>
    <xf numFmtId="0" fontId="8" fillId="0" borderId="5" xfId="0" applyFont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topLeftCell="A4" workbookViewId="0">
      <selection activeCell="B2" sqref="B2:K23"/>
    </sheetView>
  </sheetViews>
  <sheetFormatPr baseColWidth="10" defaultRowHeight="15" x14ac:dyDescent="0.25"/>
  <sheetData>
    <row r="2" spans="2:11" x14ac:dyDescent="0.25">
      <c r="B2" s="27" t="s">
        <v>38</v>
      </c>
      <c r="C2" s="28"/>
      <c r="D2" s="28"/>
      <c r="E2" s="28"/>
      <c r="F2" s="28"/>
      <c r="G2" s="28"/>
      <c r="H2" s="28"/>
      <c r="I2" s="28"/>
      <c r="J2" s="28"/>
      <c r="K2" s="28"/>
    </row>
    <row r="3" spans="2:1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2:11" x14ac:dyDescent="0.25"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2:11" x14ac:dyDescent="0.25"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2:1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2:1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2:1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2:11" x14ac:dyDescent="0.25"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2:11" x14ac:dyDescent="0.25"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2:11" x14ac:dyDescent="0.25"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2:11" x14ac:dyDescent="0.25"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2:11" x14ac:dyDescent="0.25"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2:11" x14ac:dyDescent="0.25"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2:11" x14ac:dyDescent="0.25"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2:11" x14ac:dyDescent="0.25"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2:11" x14ac:dyDescent="0.2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2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2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2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2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2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</row>
  </sheetData>
  <mergeCells count="1">
    <mergeCell ref="B2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A2" zoomScale="85" zoomScaleNormal="85" workbookViewId="0">
      <selection activeCell="P7" sqref="P7"/>
    </sheetView>
  </sheetViews>
  <sheetFormatPr baseColWidth="10" defaultRowHeight="15" x14ac:dyDescent="0.25"/>
  <cols>
    <col min="1" max="1" width="15.42578125" customWidth="1"/>
    <col min="8" max="8" width="5" customWidth="1"/>
    <col min="9" max="9" width="10.85546875" customWidth="1"/>
    <col min="13" max="13" width="7.28515625" customWidth="1"/>
    <col min="14" max="14" width="17" customWidth="1"/>
  </cols>
  <sheetData>
    <row r="1" spans="1:14" ht="18.75" x14ac:dyDescent="0.3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4" x14ac:dyDescent="0.25">
      <c r="A3" s="14" t="s">
        <v>25</v>
      </c>
      <c r="B3" s="8">
        <f>COUNTA(B5:G5)</f>
        <v>6</v>
      </c>
      <c r="C3" s="36" t="s">
        <v>26</v>
      </c>
      <c r="D3" s="36"/>
      <c r="E3" s="36"/>
      <c r="F3" s="36"/>
    </row>
    <row r="4" spans="1:14" ht="15.75" thickBot="1" x14ac:dyDescent="0.3"/>
    <row r="5" spans="1:14" ht="20.25" thickTop="1" x14ac:dyDescent="0.4">
      <c r="A5" s="1"/>
      <c r="B5" s="2" t="s">
        <v>1</v>
      </c>
      <c r="C5" s="2" t="s">
        <v>2</v>
      </c>
      <c r="D5" s="2" t="s">
        <v>3</v>
      </c>
      <c r="E5" s="2" t="s">
        <v>35</v>
      </c>
      <c r="F5" s="2" t="s">
        <v>4</v>
      </c>
      <c r="G5" s="2" t="s">
        <v>5</v>
      </c>
      <c r="I5" s="4" t="s">
        <v>0</v>
      </c>
      <c r="J5" s="5" t="s">
        <v>18</v>
      </c>
      <c r="K5" s="4" t="s">
        <v>19</v>
      </c>
      <c r="L5" s="4" t="s">
        <v>20</v>
      </c>
      <c r="N5" s="12" t="s">
        <v>21</v>
      </c>
    </row>
    <row r="6" spans="1:14" ht="19.5" x14ac:dyDescent="0.4">
      <c r="A6" s="2" t="s">
        <v>6</v>
      </c>
      <c r="B6" s="3">
        <v>12</v>
      </c>
      <c r="C6" s="3">
        <v>16</v>
      </c>
      <c r="D6" s="3">
        <v>14</v>
      </c>
      <c r="E6" s="3">
        <v>9</v>
      </c>
      <c r="F6" s="3">
        <v>20</v>
      </c>
      <c r="G6" s="3">
        <v>5</v>
      </c>
      <c r="I6" s="6">
        <f>SUM(B6:G6)</f>
        <v>76</v>
      </c>
      <c r="J6" s="7">
        <f>AVERAGE(B6:G6)</f>
        <v>12.666666666666666</v>
      </c>
      <c r="K6" s="6">
        <f>MAX(B6:G6)</f>
        <v>20</v>
      </c>
      <c r="L6" s="6">
        <f>MIN(B6:G6)</f>
        <v>5</v>
      </c>
      <c r="N6" s="13" t="str">
        <f>IF(I6&lt;50,"Mes seco",IF(I6&lt;90,"Mes humedo",IF(I6&gt;=90,"Mes muy humedo")))</f>
        <v>Mes humedo</v>
      </c>
    </row>
    <row r="7" spans="1:14" ht="19.5" x14ac:dyDescent="0.4">
      <c r="A7" s="2" t="s">
        <v>13</v>
      </c>
      <c r="B7" s="3">
        <v>10</v>
      </c>
      <c r="C7" s="3">
        <v>18</v>
      </c>
      <c r="D7" s="3">
        <v>12</v>
      </c>
      <c r="E7" s="3">
        <v>8</v>
      </c>
      <c r="F7" s="3">
        <v>22</v>
      </c>
      <c r="G7" s="3">
        <v>8</v>
      </c>
      <c r="I7" s="6">
        <f t="shared" ref="I7:I17" si="0">SUM(B7:G7)</f>
        <v>78</v>
      </c>
      <c r="J7" s="7">
        <f t="shared" ref="J7:J17" si="1">AVERAGE(B7:G7)</f>
        <v>13</v>
      </c>
      <c r="K7" s="6">
        <f t="shared" ref="K7:K17" si="2">MAX(B7:G7)</f>
        <v>22</v>
      </c>
      <c r="L7" s="6">
        <f t="shared" ref="L7:L17" si="3">MIN(B7:G7)</f>
        <v>8</v>
      </c>
      <c r="N7" s="13" t="str">
        <f t="shared" ref="N7:N17" si="4">IF(I7&lt;50,"Mes seco",IF(I7&lt;90,"Mes humedo",IF(I7&gt;=90,"Mes muy humedo")))</f>
        <v>Mes humedo</v>
      </c>
    </row>
    <row r="8" spans="1:14" ht="19.5" x14ac:dyDescent="0.4">
      <c r="A8" s="2" t="s">
        <v>14</v>
      </c>
      <c r="B8" s="3">
        <v>11</v>
      </c>
      <c r="C8" s="3">
        <v>15</v>
      </c>
      <c r="D8" s="3">
        <v>8</v>
      </c>
      <c r="E8" s="3">
        <v>5</v>
      </c>
      <c r="F8" s="3">
        <v>15</v>
      </c>
      <c r="G8" s="3">
        <v>9</v>
      </c>
      <c r="I8" s="6">
        <f t="shared" si="0"/>
        <v>63</v>
      </c>
      <c r="J8" s="7">
        <f t="shared" si="1"/>
        <v>10.5</v>
      </c>
      <c r="K8" s="6">
        <f t="shared" si="2"/>
        <v>15</v>
      </c>
      <c r="L8" s="6">
        <f t="shared" si="3"/>
        <v>5</v>
      </c>
      <c r="N8" s="13" t="str">
        <f t="shared" si="4"/>
        <v>Mes humedo</v>
      </c>
    </row>
    <row r="9" spans="1:14" ht="19.5" x14ac:dyDescent="0.4">
      <c r="A9" s="2" t="s">
        <v>7</v>
      </c>
      <c r="B9" s="3">
        <v>15</v>
      </c>
      <c r="C9" s="3">
        <v>15</v>
      </c>
      <c r="D9" s="3">
        <v>10</v>
      </c>
      <c r="E9" s="3">
        <v>10</v>
      </c>
      <c r="F9" s="3">
        <v>15</v>
      </c>
      <c r="G9" s="3">
        <v>7</v>
      </c>
      <c r="I9" s="6">
        <f t="shared" si="0"/>
        <v>72</v>
      </c>
      <c r="J9" s="7">
        <f t="shared" si="1"/>
        <v>12</v>
      </c>
      <c r="K9" s="6">
        <f t="shared" si="2"/>
        <v>15</v>
      </c>
      <c r="L9" s="6">
        <f t="shared" si="3"/>
        <v>7</v>
      </c>
      <c r="N9" s="13" t="str">
        <f t="shared" si="4"/>
        <v>Mes humedo</v>
      </c>
    </row>
    <row r="10" spans="1:14" ht="19.5" x14ac:dyDescent="0.4">
      <c r="A10" s="2" t="s">
        <v>8</v>
      </c>
      <c r="B10" s="3">
        <v>10</v>
      </c>
      <c r="C10" s="3">
        <v>10</v>
      </c>
      <c r="D10" s="3">
        <v>9</v>
      </c>
      <c r="E10" s="3">
        <v>10</v>
      </c>
      <c r="F10" s="3">
        <v>15</v>
      </c>
      <c r="G10" s="3">
        <v>10</v>
      </c>
      <c r="I10" s="6">
        <f t="shared" si="0"/>
        <v>64</v>
      </c>
      <c r="J10" s="7">
        <f t="shared" si="1"/>
        <v>10.666666666666666</v>
      </c>
      <c r="K10" s="6">
        <f t="shared" si="2"/>
        <v>15</v>
      </c>
      <c r="L10" s="6">
        <f t="shared" si="3"/>
        <v>9</v>
      </c>
      <c r="N10" s="13" t="str">
        <f t="shared" si="4"/>
        <v>Mes humedo</v>
      </c>
    </row>
    <row r="11" spans="1:14" ht="19.5" x14ac:dyDescent="0.4">
      <c r="A11" s="2" t="s">
        <v>15</v>
      </c>
      <c r="B11" s="3">
        <v>8</v>
      </c>
      <c r="C11" s="3">
        <v>7</v>
      </c>
      <c r="D11" s="3">
        <v>10</v>
      </c>
      <c r="E11" s="3">
        <v>8</v>
      </c>
      <c r="F11" s="3">
        <v>9</v>
      </c>
      <c r="G11" s="3">
        <v>4</v>
      </c>
      <c r="I11" s="6">
        <f t="shared" si="0"/>
        <v>46</v>
      </c>
      <c r="J11" s="7">
        <f t="shared" si="1"/>
        <v>7.666666666666667</v>
      </c>
      <c r="K11" s="6">
        <f t="shared" si="2"/>
        <v>10</v>
      </c>
      <c r="L11" s="6">
        <f t="shared" si="3"/>
        <v>4</v>
      </c>
      <c r="N11" s="13" t="str">
        <f t="shared" si="4"/>
        <v>Mes seco</v>
      </c>
    </row>
    <row r="12" spans="1:14" ht="19.5" x14ac:dyDescent="0.4">
      <c r="A12" s="2" t="s">
        <v>9</v>
      </c>
      <c r="B12" s="3">
        <v>5</v>
      </c>
      <c r="C12" s="3">
        <v>3</v>
      </c>
      <c r="D12" s="3">
        <v>1</v>
      </c>
      <c r="E12" s="3">
        <v>5</v>
      </c>
      <c r="F12" s="3">
        <v>6</v>
      </c>
      <c r="G12" s="3">
        <v>6</v>
      </c>
      <c r="I12" s="6">
        <f t="shared" si="0"/>
        <v>26</v>
      </c>
      <c r="J12" s="7">
        <f t="shared" si="1"/>
        <v>4.333333333333333</v>
      </c>
      <c r="K12" s="6">
        <f t="shared" si="2"/>
        <v>6</v>
      </c>
      <c r="L12" s="6">
        <f t="shared" si="3"/>
        <v>1</v>
      </c>
      <c r="N12" s="13" t="str">
        <f t="shared" si="4"/>
        <v>Mes seco</v>
      </c>
    </row>
    <row r="13" spans="1:14" ht="19.5" x14ac:dyDescent="0.4">
      <c r="A13" s="2" t="s">
        <v>10</v>
      </c>
      <c r="B13" s="3">
        <v>8</v>
      </c>
      <c r="C13" s="3">
        <v>8</v>
      </c>
      <c r="D13" s="3">
        <v>3</v>
      </c>
      <c r="E13" s="3">
        <v>3</v>
      </c>
      <c r="F13" s="3">
        <v>7</v>
      </c>
      <c r="G13" s="3">
        <v>8</v>
      </c>
      <c r="I13" s="6">
        <f t="shared" si="0"/>
        <v>37</v>
      </c>
      <c r="J13" s="7">
        <f t="shared" si="1"/>
        <v>6.166666666666667</v>
      </c>
      <c r="K13" s="6">
        <f t="shared" si="2"/>
        <v>8</v>
      </c>
      <c r="L13" s="6">
        <f t="shared" si="3"/>
        <v>3</v>
      </c>
      <c r="N13" s="13" t="str">
        <f t="shared" si="4"/>
        <v>Mes seco</v>
      </c>
    </row>
    <row r="14" spans="1:14" ht="19.5" x14ac:dyDescent="0.4">
      <c r="A14" s="2" t="s">
        <v>11</v>
      </c>
      <c r="B14" s="3">
        <v>11</v>
      </c>
      <c r="C14" s="3">
        <v>10</v>
      </c>
      <c r="D14" s="3">
        <v>10</v>
      </c>
      <c r="E14" s="3">
        <v>5</v>
      </c>
      <c r="F14" s="3">
        <v>20</v>
      </c>
      <c r="G14" s="3">
        <v>2</v>
      </c>
      <c r="I14" s="6">
        <f t="shared" si="0"/>
        <v>58</v>
      </c>
      <c r="J14" s="7">
        <f t="shared" si="1"/>
        <v>9.6666666666666661</v>
      </c>
      <c r="K14" s="6">
        <f t="shared" si="2"/>
        <v>20</v>
      </c>
      <c r="L14" s="6">
        <f t="shared" si="3"/>
        <v>2</v>
      </c>
      <c r="N14" s="13" t="str">
        <f t="shared" si="4"/>
        <v>Mes humedo</v>
      </c>
    </row>
    <row r="15" spans="1:14" ht="19.5" x14ac:dyDescent="0.4">
      <c r="A15" s="2" t="s">
        <v>16</v>
      </c>
      <c r="B15" s="3">
        <v>15</v>
      </c>
      <c r="C15" s="3">
        <v>14</v>
      </c>
      <c r="D15" s="3">
        <v>20</v>
      </c>
      <c r="E15" s="3">
        <v>8</v>
      </c>
      <c r="F15" s="3">
        <v>28</v>
      </c>
      <c r="G15" s="3">
        <v>9</v>
      </c>
      <c r="I15" s="6">
        <f t="shared" si="0"/>
        <v>94</v>
      </c>
      <c r="J15" s="7">
        <f t="shared" si="1"/>
        <v>15.666666666666666</v>
      </c>
      <c r="K15" s="6">
        <f t="shared" si="2"/>
        <v>28</v>
      </c>
      <c r="L15" s="6">
        <f t="shared" si="3"/>
        <v>8</v>
      </c>
      <c r="N15" s="26" t="str">
        <f t="shared" si="4"/>
        <v>Mes muy humedo</v>
      </c>
    </row>
    <row r="16" spans="1:14" ht="19.5" x14ac:dyDescent="0.4">
      <c r="A16" s="2" t="s">
        <v>12</v>
      </c>
      <c r="B16" s="3">
        <v>20</v>
      </c>
      <c r="C16" s="3">
        <v>18</v>
      </c>
      <c r="D16" s="3">
        <v>15</v>
      </c>
      <c r="E16" s="3">
        <v>11</v>
      </c>
      <c r="F16" s="3">
        <v>19</v>
      </c>
      <c r="G16" s="3">
        <v>5</v>
      </c>
      <c r="I16" s="6">
        <f t="shared" si="0"/>
        <v>88</v>
      </c>
      <c r="J16" s="7">
        <f t="shared" si="1"/>
        <v>14.666666666666666</v>
      </c>
      <c r="K16" s="6">
        <f t="shared" si="2"/>
        <v>20</v>
      </c>
      <c r="L16" s="6">
        <f t="shared" si="3"/>
        <v>5</v>
      </c>
      <c r="N16" s="13" t="str">
        <f t="shared" si="4"/>
        <v>Mes humedo</v>
      </c>
    </row>
    <row r="17" spans="1:14" ht="19.5" x14ac:dyDescent="0.4">
      <c r="A17" s="2" t="s">
        <v>17</v>
      </c>
      <c r="B17" s="3">
        <v>18</v>
      </c>
      <c r="C17" s="3">
        <v>15</v>
      </c>
      <c r="D17" s="3">
        <v>10</v>
      </c>
      <c r="E17" s="3">
        <v>13</v>
      </c>
      <c r="F17" s="3">
        <v>19</v>
      </c>
      <c r="G17" s="3">
        <v>8</v>
      </c>
      <c r="I17" s="6">
        <f t="shared" si="0"/>
        <v>83</v>
      </c>
      <c r="J17" s="7">
        <f t="shared" si="1"/>
        <v>13.833333333333334</v>
      </c>
      <c r="K17" s="6">
        <f t="shared" si="2"/>
        <v>19</v>
      </c>
      <c r="L17" s="6">
        <f t="shared" si="3"/>
        <v>8</v>
      </c>
      <c r="N17" s="13" t="str">
        <f t="shared" si="4"/>
        <v>Mes humedo</v>
      </c>
    </row>
    <row r="18" spans="1:14" ht="16.5" thickBot="1" x14ac:dyDescent="0.35">
      <c r="A18" s="1"/>
      <c r="B18" s="1"/>
      <c r="C18" s="1"/>
      <c r="D18" s="1"/>
      <c r="E18" s="1"/>
      <c r="F18" s="1"/>
      <c r="G18" s="1"/>
    </row>
    <row r="19" spans="1:14" ht="20.25" thickTop="1" x14ac:dyDescent="0.4">
      <c r="A19" s="4" t="s">
        <v>0</v>
      </c>
      <c r="B19" s="6">
        <f>SUM(B6:B17)</f>
        <v>143</v>
      </c>
      <c r="C19" s="6">
        <f t="shared" ref="C19:G19" si="5">SUM(C6:C17)</f>
        <v>149</v>
      </c>
      <c r="D19" s="6">
        <f t="shared" si="5"/>
        <v>122</v>
      </c>
      <c r="E19" s="6">
        <f t="shared" si="5"/>
        <v>95</v>
      </c>
      <c r="F19" s="6">
        <f t="shared" si="5"/>
        <v>195</v>
      </c>
      <c r="G19" s="6">
        <f t="shared" si="5"/>
        <v>81</v>
      </c>
      <c r="K19" s="30" t="s">
        <v>22</v>
      </c>
      <c r="L19" s="31"/>
      <c r="M19" s="31"/>
      <c r="N19" s="9">
        <f>COUNTIF(N6:N17,"Mes seco")</f>
        <v>3</v>
      </c>
    </row>
    <row r="20" spans="1:14" ht="19.5" x14ac:dyDescent="0.4">
      <c r="A20" s="4" t="s">
        <v>18</v>
      </c>
      <c r="B20" s="7">
        <f>AVERAGE(B6:B17)</f>
        <v>11.916666666666666</v>
      </c>
      <c r="C20" s="7">
        <f t="shared" ref="C20:G20" si="6">AVERAGE(C6:C17)</f>
        <v>12.416666666666666</v>
      </c>
      <c r="D20" s="7">
        <f t="shared" si="6"/>
        <v>10.166666666666666</v>
      </c>
      <c r="E20" s="7">
        <f t="shared" si="6"/>
        <v>7.916666666666667</v>
      </c>
      <c r="F20" s="7">
        <f t="shared" si="6"/>
        <v>16.25</v>
      </c>
      <c r="G20" s="7">
        <f t="shared" si="6"/>
        <v>6.75</v>
      </c>
      <c r="K20" s="32" t="s">
        <v>23</v>
      </c>
      <c r="L20" s="33"/>
      <c r="M20" s="33"/>
      <c r="N20" s="10">
        <f>COUNTIF(N6:N17,"Mes humedo")</f>
        <v>8</v>
      </c>
    </row>
    <row r="21" spans="1:14" ht="20.25" thickBot="1" x14ac:dyDescent="0.45">
      <c r="A21" s="4" t="s">
        <v>19</v>
      </c>
      <c r="B21" s="6">
        <f>MAX(B6:B17)</f>
        <v>20</v>
      </c>
      <c r="C21" s="6">
        <f t="shared" ref="C21:G21" si="7">MAX(C6:C17)</f>
        <v>18</v>
      </c>
      <c r="D21" s="6">
        <f t="shared" si="7"/>
        <v>20</v>
      </c>
      <c r="E21" s="6">
        <f t="shared" si="7"/>
        <v>13</v>
      </c>
      <c r="F21" s="6">
        <f t="shared" si="7"/>
        <v>28</v>
      </c>
      <c r="G21" s="6">
        <f t="shared" si="7"/>
        <v>10</v>
      </c>
      <c r="K21" s="34" t="s">
        <v>24</v>
      </c>
      <c r="L21" s="35"/>
      <c r="M21" s="35"/>
      <c r="N21" s="11">
        <f>COUNTIF(N6:N17,"Mes muy humedo")</f>
        <v>1</v>
      </c>
    </row>
    <row r="22" spans="1:14" ht="20.25" thickTop="1" x14ac:dyDescent="0.4">
      <c r="A22" s="4" t="s">
        <v>20</v>
      </c>
      <c r="B22" s="6">
        <f>MIN(B6:B17)</f>
        <v>5</v>
      </c>
      <c r="C22" s="6">
        <f t="shared" ref="C22:G22" si="8">MIN(C6:C17)</f>
        <v>3</v>
      </c>
      <c r="D22" s="6">
        <f t="shared" si="8"/>
        <v>1</v>
      </c>
      <c r="E22" s="6">
        <f t="shared" si="8"/>
        <v>3</v>
      </c>
      <c r="F22" s="6">
        <f t="shared" si="8"/>
        <v>6</v>
      </c>
      <c r="G22" s="6">
        <f t="shared" si="8"/>
        <v>2</v>
      </c>
    </row>
  </sheetData>
  <mergeCells count="5">
    <mergeCell ref="A1:L1"/>
    <mergeCell ref="K19:M19"/>
    <mergeCell ref="K20:M20"/>
    <mergeCell ref="K21:M21"/>
    <mergeCell ref="C3:F3"/>
  </mergeCells>
  <conditionalFormatting sqref="N6:N17">
    <cfRule type="cellIs" dxfId="9" priority="3" operator="equal">
      <formula>"Mes humedo"</formula>
    </cfRule>
    <cfRule type="cellIs" dxfId="8" priority="2" operator="equal">
      <formula>"Mes seco"</formula>
    </cfRule>
    <cfRule type="cellIs" dxfId="7" priority="1" operator="equal">
      <formula>"Mes muy humedo"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E12" sqref="E12"/>
    </sheetView>
  </sheetViews>
  <sheetFormatPr baseColWidth="10" defaultRowHeight="15" x14ac:dyDescent="0.25"/>
  <cols>
    <col min="1" max="1" width="13.85546875" customWidth="1"/>
    <col min="4" max="4" width="15.5703125" customWidth="1"/>
    <col min="5" max="5" width="13.140625" customWidth="1"/>
    <col min="6" max="6" width="14.7109375" customWidth="1"/>
  </cols>
  <sheetData>
    <row r="1" spans="1:14" ht="18.75" x14ac:dyDescent="0.3">
      <c r="A1" s="29" t="s">
        <v>37</v>
      </c>
      <c r="B1" s="29"/>
      <c r="C1" s="29"/>
      <c r="D1" s="29"/>
      <c r="E1" s="29"/>
      <c r="F1" s="29"/>
      <c r="G1" s="25"/>
      <c r="H1" s="25"/>
      <c r="I1" s="25"/>
      <c r="J1" s="25"/>
      <c r="K1" s="25"/>
      <c r="L1" s="25"/>
    </row>
    <row r="2" spans="1:14" ht="15.75" thickBot="1" x14ac:dyDescent="0.3"/>
    <row r="3" spans="1:14" ht="16.5" thickTop="1" thickBot="1" x14ac:dyDescent="0.3">
      <c r="A3" s="41" t="s">
        <v>27</v>
      </c>
      <c r="B3" s="41"/>
      <c r="C3" s="38" t="s">
        <v>40</v>
      </c>
      <c r="D3" s="39"/>
      <c r="E3" s="39"/>
      <c r="F3" s="40"/>
      <c r="H3" s="16"/>
      <c r="I3" s="16"/>
      <c r="J3" s="16"/>
      <c r="K3" s="16"/>
      <c r="L3" s="16"/>
      <c r="M3" s="16"/>
      <c r="N3" s="16"/>
    </row>
    <row r="4" spans="1:14" ht="20.25" thickTop="1" x14ac:dyDescent="0.4">
      <c r="A4" s="1"/>
      <c r="B4" s="15"/>
      <c r="C4" s="15"/>
      <c r="D4" s="15"/>
      <c r="E4" s="15"/>
      <c r="F4" s="15"/>
      <c r="G4" s="15"/>
      <c r="H4" s="16"/>
      <c r="I4" s="15"/>
      <c r="J4" s="17"/>
      <c r="K4" s="15"/>
      <c r="L4" s="15"/>
      <c r="M4" s="16"/>
      <c r="N4" s="16"/>
    </row>
    <row r="5" spans="1:14" ht="19.5" x14ac:dyDescent="0.4">
      <c r="A5" s="20" t="s">
        <v>6</v>
      </c>
      <c r="B5" s="3">
        <f>HLOOKUP($C$3,'Precipitaciones 2021'!$A$5:$G$17,2,0)</f>
        <v>5</v>
      </c>
      <c r="C5" s="3"/>
      <c r="D5" s="3"/>
      <c r="E5" s="3"/>
      <c r="F5" s="3"/>
      <c r="G5" s="3"/>
      <c r="H5" s="16"/>
      <c r="I5" s="18"/>
      <c r="J5" s="19"/>
      <c r="K5" s="18"/>
      <c r="L5" s="18"/>
      <c r="M5" s="16"/>
      <c r="N5" s="16"/>
    </row>
    <row r="6" spans="1:14" ht="19.5" x14ac:dyDescent="0.4">
      <c r="A6" s="20" t="s">
        <v>13</v>
      </c>
      <c r="B6" s="3">
        <f>HLOOKUP($C$3,'Precipitaciones 2021'!$A$5:$G$17,3,0)</f>
        <v>8</v>
      </c>
      <c r="C6" s="3"/>
      <c r="D6" s="42" t="s">
        <v>29</v>
      </c>
      <c r="E6" s="42"/>
      <c r="F6" s="3">
        <f>HLOOKUP(C3,'Precipitaciones 2021'!A5:G22,15,0)</f>
        <v>81</v>
      </c>
      <c r="G6" s="3"/>
      <c r="H6" s="16"/>
      <c r="I6" s="18"/>
      <c r="J6" s="19"/>
      <c r="K6" s="18"/>
      <c r="L6" s="18"/>
      <c r="M6" s="16"/>
      <c r="N6" s="16"/>
    </row>
    <row r="7" spans="1:14" ht="19.5" x14ac:dyDescent="0.4">
      <c r="A7" s="20" t="s">
        <v>14</v>
      </c>
      <c r="B7" s="3">
        <f>HLOOKUP($C$3,'Precipitaciones 2021'!$A$5:$G$17,4,0)</f>
        <v>9</v>
      </c>
      <c r="C7" s="3"/>
      <c r="D7" s="42" t="s">
        <v>28</v>
      </c>
      <c r="E7" s="42"/>
      <c r="F7" s="3">
        <f>HLOOKUP(C3,'Precipitaciones 2021'!A5:G20,16,0)</f>
        <v>6.75</v>
      </c>
      <c r="G7" s="3"/>
      <c r="H7" s="16"/>
      <c r="I7" s="18"/>
      <c r="J7" s="19"/>
      <c r="K7" s="18"/>
      <c r="L7" s="18"/>
      <c r="M7" s="16"/>
      <c r="N7" s="16"/>
    </row>
    <row r="8" spans="1:14" ht="19.5" x14ac:dyDescent="0.4">
      <c r="A8" s="20" t="s">
        <v>7</v>
      </c>
      <c r="B8" s="3">
        <f>HLOOKUP($C$3,'Precipitaciones 2021'!$A$5:$G$17,5,0)</f>
        <v>7</v>
      </c>
      <c r="C8" s="3"/>
      <c r="D8" s="42" t="s">
        <v>30</v>
      </c>
      <c r="E8" s="42"/>
      <c r="F8" s="3">
        <f>HLOOKUP(C3,'Precipitaciones 2021'!A5:G21,17,0)</f>
        <v>10</v>
      </c>
      <c r="G8" s="3"/>
      <c r="H8" s="16"/>
      <c r="I8" s="18"/>
      <c r="J8" s="19"/>
      <c r="K8" s="18"/>
      <c r="L8" s="18"/>
      <c r="M8" s="16"/>
      <c r="N8" s="16"/>
    </row>
    <row r="9" spans="1:14" ht="19.5" x14ac:dyDescent="0.4">
      <c r="A9" s="20" t="s">
        <v>8</v>
      </c>
      <c r="B9" s="3">
        <f>HLOOKUP($C$3,'Precipitaciones 2021'!$A$5:$G$17,6,0)</f>
        <v>10</v>
      </c>
      <c r="C9" s="3"/>
      <c r="D9" s="42" t="s">
        <v>31</v>
      </c>
      <c r="E9" s="42"/>
      <c r="F9" s="3">
        <f>HLOOKUP(C3,'Precipitaciones 2021'!A5:G22,18,0)</f>
        <v>2</v>
      </c>
      <c r="G9" s="3"/>
      <c r="H9" s="16"/>
      <c r="I9" s="18"/>
      <c r="J9" s="19"/>
      <c r="K9" s="18"/>
      <c r="L9" s="18"/>
      <c r="M9" s="16"/>
      <c r="N9" s="16"/>
    </row>
    <row r="10" spans="1:14" ht="19.5" x14ac:dyDescent="0.4">
      <c r="A10" s="20" t="s">
        <v>15</v>
      </c>
      <c r="B10" s="3">
        <f>HLOOKUP($C$3,'Precipitaciones 2021'!$A$5:$G$17,7,0)</f>
        <v>4</v>
      </c>
      <c r="C10" s="3"/>
      <c r="D10" s="3"/>
      <c r="E10" s="3"/>
      <c r="F10" s="3"/>
      <c r="G10" s="3"/>
      <c r="H10" s="16"/>
      <c r="I10" s="18"/>
      <c r="J10" s="19"/>
      <c r="K10" s="18"/>
      <c r="L10" s="18"/>
      <c r="M10" s="16"/>
      <c r="N10" s="16"/>
    </row>
    <row r="11" spans="1:14" ht="19.5" x14ac:dyDescent="0.4">
      <c r="A11" s="20" t="s">
        <v>9</v>
      </c>
      <c r="B11" s="3">
        <f>HLOOKUP($C$3,'Precipitaciones 2021'!$A$5:$G$17,8,0)</f>
        <v>6</v>
      </c>
      <c r="C11" s="3"/>
      <c r="D11" s="21" t="s">
        <v>32</v>
      </c>
      <c r="E11" s="22">
        <f>HLOOKUP(C3,'Precipitaciones 2021'!A5:G19,15,0)</f>
        <v>81</v>
      </c>
      <c r="F11" s="21" t="s">
        <v>36</v>
      </c>
      <c r="G11" s="3"/>
      <c r="H11" s="16"/>
      <c r="I11" s="18"/>
      <c r="J11" s="19"/>
      <c r="K11" s="18"/>
      <c r="L11" s="18"/>
      <c r="M11" s="16"/>
      <c r="N11" s="16"/>
    </row>
    <row r="12" spans="1:14" ht="19.5" x14ac:dyDescent="0.4">
      <c r="A12" s="20" t="s">
        <v>10</v>
      </c>
      <c r="B12" s="3">
        <f>HLOOKUP($C$3,'Precipitaciones 2021'!$A$5:$G$17,9,0)</f>
        <v>8</v>
      </c>
      <c r="C12" s="3"/>
      <c r="D12" s="23" t="s">
        <v>33</v>
      </c>
      <c r="E12" s="22" t="str">
        <f>(VLOOKUP(C3,C3:C3,1))</f>
        <v>teruel</v>
      </c>
      <c r="F12" s="24" t="s">
        <v>34</v>
      </c>
      <c r="G12" s="3"/>
      <c r="H12" s="16"/>
      <c r="I12" s="18"/>
      <c r="J12" s="19"/>
      <c r="K12" s="18"/>
      <c r="L12" s="18"/>
      <c r="M12" s="16"/>
      <c r="N12" s="16"/>
    </row>
    <row r="13" spans="1:14" ht="19.5" x14ac:dyDescent="0.4">
      <c r="A13" s="20" t="s">
        <v>11</v>
      </c>
      <c r="B13" s="3">
        <f>HLOOKUP($C$3,'Precipitaciones 2021'!$A$5:$G$17,10,0)</f>
        <v>2</v>
      </c>
      <c r="C13" s="3"/>
      <c r="D13" s="37" t="str">
        <f>IF(F6&lt;50,"Mes seco",IF(F6&lt;90,"Mes humedo",IF(F6&gt;=90,"Mes muy humedo")))</f>
        <v>Mes humedo</v>
      </c>
      <c r="E13" s="37"/>
      <c r="F13" s="37"/>
      <c r="G13" s="3"/>
      <c r="H13" s="16"/>
      <c r="I13" s="18"/>
      <c r="J13" s="19"/>
      <c r="K13" s="18"/>
      <c r="L13" s="18"/>
      <c r="M13" s="16"/>
      <c r="N13" s="16"/>
    </row>
    <row r="14" spans="1:14" ht="19.5" x14ac:dyDescent="0.4">
      <c r="A14" s="20" t="s">
        <v>16</v>
      </c>
      <c r="B14" s="3">
        <f>HLOOKUP($C$3,'Precipitaciones 2021'!$A$5:$G$17,11,0)</f>
        <v>9</v>
      </c>
      <c r="C14" s="3"/>
      <c r="D14" s="3"/>
      <c r="E14" s="3"/>
      <c r="F14" s="3"/>
      <c r="G14" s="3"/>
      <c r="H14" s="16"/>
      <c r="I14" s="18"/>
      <c r="J14" s="19"/>
      <c r="K14" s="18"/>
      <c r="L14" s="18"/>
      <c r="M14" s="16"/>
      <c r="N14" s="16"/>
    </row>
    <row r="15" spans="1:14" ht="19.5" x14ac:dyDescent="0.4">
      <c r="A15" s="20" t="s">
        <v>12</v>
      </c>
      <c r="B15" s="3">
        <f>HLOOKUP($C$3,'Precipitaciones 2021'!$A$5:$G$17,12,0)</f>
        <v>5</v>
      </c>
      <c r="C15" s="3"/>
      <c r="D15" s="3"/>
      <c r="E15" s="3"/>
      <c r="F15" s="3"/>
      <c r="G15" s="3"/>
      <c r="H15" s="16"/>
      <c r="I15" s="18"/>
      <c r="J15" s="19"/>
      <c r="K15" s="18"/>
      <c r="L15" s="18"/>
      <c r="M15" s="16"/>
      <c r="N15" s="16"/>
    </row>
    <row r="16" spans="1:14" ht="19.5" x14ac:dyDescent="0.4">
      <c r="A16" s="20" t="s">
        <v>17</v>
      </c>
      <c r="B16" s="3">
        <f>HLOOKUP($C$3,'Precipitaciones 2021'!$A$5:$G$17,13,0)</f>
        <v>8</v>
      </c>
      <c r="C16" s="3"/>
      <c r="D16" s="3"/>
      <c r="E16" s="3"/>
      <c r="F16" s="3"/>
      <c r="G16" s="3"/>
      <c r="H16" s="16"/>
      <c r="I16" s="18"/>
      <c r="J16" s="19"/>
      <c r="K16" s="18"/>
      <c r="L16" s="18"/>
      <c r="M16" s="16"/>
      <c r="N16" s="16"/>
    </row>
    <row r="17" spans="2:14" ht="16.5" x14ac:dyDescent="0.35">
      <c r="B17" s="3"/>
      <c r="H17" s="16"/>
      <c r="I17" s="16"/>
      <c r="J17" s="16"/>
      <c r="K17" s="16"/>
      <c r="L17" s="16"/>
      <c r="M17" s="16"/>
      <c r="N17" s="16"/>
    </row>
    <row r="18" spans="2:14" x14ac:dyDescent="0.25">
      <c r="H18" s="16"/>
      <c r="I18" s="16"/>
      <c r="J18" s="16"/>
      <c r="K18" s="16"/>
      <c r="L18" s="16"/>
      <c r="M18" s="16"/>
      <c r="N18" s="16"/>
    </row>
  </sheetData>
  <mergeCells count="8">
    <mergeCell ref="D13:F13"/>
    <mergeCell ref="A1:F1"/>
    <mergeCell ref="C3:F3"/>
    <mergeCell ref="A3:B3"/>
    <mergeCell ref="D6:E6"/>
    <mergeCell ref="D7:E7"/>
    <mergeCell ref="D9:E9"/>
    <mergeCell ref="D8:E8"/>
  </mergeCells>
  <conditionalFormatting sqref="B5:B16">
    <cfRule type="cellIs" dxfId="6" priority="7" operator="lessThan">
      <formula>5</formula>
    </cfRule>
    <cfRule type="cellIs" dxfId="5" priority="6" operator="between">
      <formula>5</formula>
      <formula>9</formula>
    </cfRule>
    <cfRule type="cellIs" dxfId="4" priority="5" operator="greaterThan">
      <formula>10</formula>
    </cfRule>
    <cfRule type="cellIs" dxfId="3" priority="4" operator="equal">
      <formula>10</formula>
    </cfRule>
  </conditionalFormatting>
  <conditionalFormatting sqref="D13:F13">
    <cfRule type="cellIs" dxfId="2" priority="3" operator="equal">
      <formula>"Mes seco"</formula>
    </cfRule>
    <cfRule type="cellIs" dxfId="1" priority="2" operator="equal">
      <formula>"Mes humedo"</formula>
    </cfRule>
    <cfRule type="cellIs" dxfId="0" priority="1" operator="equal">
      <formula>"Mes muy humedo"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Presentación</vt:lpstr>
      <vt:lpstr>Precipitaciones 2021</vt:lpstr>
      <vt:lpstr>Búsqueda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smr1</cp:lastModifiedBy>
  <dcterms:created xsi:type="dcterms:W3CDTF">2012-01-14T03:31:07Z</dcterms:created>
  <dcterms:modified xsi:type="dcterms:W3CDTF">2022-02-10T12:01:15Z</dcterms:modified>
</cp:coreProperties>
</file>