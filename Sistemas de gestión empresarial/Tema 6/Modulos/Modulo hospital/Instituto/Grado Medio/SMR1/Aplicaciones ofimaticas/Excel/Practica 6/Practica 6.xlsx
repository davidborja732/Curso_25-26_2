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6\"/>
    </mc:Choice>
  </mc:AlternateContent>
  <bookViews>
    <workbookView xWindow="0" yWindow="0" windowWidth="20490" windowHeight="7650"/>
  </bookViews>
  <sheets>
    <sheet name="Presentacion" sheetId="1" r:id="rId1"/>
    <sheet name="Ejercicio 1" sheetId="2" r:id="rId2"/>
    <sheet name="Ejercicio 2" sheetId="3" r:id="rId3"/>
    <sheet name="Ejercicio 3" sheetId="4" r:id="rId4"/>
    <sheet name="Ejercicio 4" sheetId="5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5" l="1"/>
  <c r="B4" i="5"/>
  <c r="E3" i="2" l="1"/>
  <c r="B1" i="5"/>
  <c r="E10" i="4"/>
  <c r="D10" i="4"/>
  <c r="C10" i="4"/>
  <c r="F9" i="4"/>
  <c r="F8" i="4"/>
  <c r="F7" i="4"/>
  <c r="F6" i="4"/>
  <c r="F5" i="4"/>
  <c r="F4" i="4"/>
  <c r="J7" i="3" l="1"/>
  <c r="H7" i="3"/>
  <c r="F7" i="3"/>
  <c r="D7" i="3"/>
  <c r="J6" i="3"/>
  <c r="H6" i="3"/>
  <c r="F6" i="3"/>
  <c r="D6" i="3"/>
  <c r="J5" i="3"/>
  <c r="H5" i="3"/>
  <c r="F5" i="3"/>
  <c r="D5" i="3"/>
  <c r="J4" i="3"/>
  <c r="H4" i="3"/>
  <c r="F4" i="3"/>
  <c r="D4" i="3"/>
  <c r="J3" i="3"/>
  <c r="H3" i="3"/>
  <c r="F3" i="3"/>
  <c r="D3" i="3"/>
  <c r="J2" i="3"/>
  <c r="H2" i="3"/>
  <c r="F2" i="3"/>
  <c r="D2" i="3"/>
  <c r="G3" i="2" l="1"/>
  <c r="F3" i="2"/>
  <c r="D3" i="2"/>
  <c r="C3" i="2"/>
  <c r="B3" i="2"/>
</calcChain>
</file>

<file path=xl/sharedStrings.xml><?xml version="1.0" encoding="utf-8"?>
<sst xmlns="http://schemas.openxmlformats.org/spreadsheetml/2006/main" count="55" uniqueCount="48">
  <si>
    <t>Ejercicio 1</t>
  </si>
  <si>
    <t>Ejercicio 2</t>
  </si>
  <si>
    <t>Ejercicio 3</t>
  </si>
  <si>
    <t>Ejercicio 4</t>
  </si>
  <si>
    <t>Funciones trigonometricas</t>
  </si>
  <si>
    <t>Ventas: tienda de informatica Tu PC</t>
  </si>
  <si>
    <t>Ventas Automovilisticas 2010</t>
  </si>
  <si>
    <t>Area y volumen del cubo</t>
  </si>
  <si>
    <t>ir al ejercicio</t>
  </si>
  <si>
    <t>PRACTICA 6 EJERCICIOS</t>
  </si>
  <si>
    <t>FUNCIONES TRIGOMETRICAS</t>
  </si>
  <si>
    <t>X</t>
  </si>
  <si>
    <t>Coseno (x)</t>
  </si>
  <si>
    <t>Seno (x)</t>
  </si>
  <si>
    <t>Tangente (x)</t>
  </si>
  <si>
    <t>Arcoseno (x)</t>
  </si>
  <si>
    <t>Arcocoseno(x)</t>
  </si>
  <si>
    <t>Arcotangente (x)</t>
  </si>
  <si>
    <t>Suma de X</t>
  </si>
  <si>
    <t>Suma de Seno (x)</t>
  </si>
  <si>
    <t>Suma de Coseno (x)</t>
  </si>
  <si>
    <t>Suma de Tangente (x)</t>
  </si>
  <si>
    <t>Suma de Arcoseno (x)</t>
  </si>
  <si>
    <t>Suma de Arcocoseno(x)</t>
  </si>
  <si>
    <t>Suma de Arcotangente (x)</t>
  </si>
  <si>
    <t>Enero</t>
  </si>
  <si>
    <t>Febrero</t>
  </si>
  <si>
    <t>Marzo</t>
  </si>
  <si>
    <t>Abril</t>
  </si>
  <si>
    <t>teclado</t>
  </si>
  <si>
    <t>raton optico</t>
  </si>
  <si>
    <t>raton inalambrico</t>
  </si>
  <si>
    <t>memoria usb 4GB</t>
  </si>
  <si>
    <t>memoria usb 16GB</t>
  </si>
  <si>
    <t>memoria usb 8GB</t>
  </si>
  <si>
    <t>VENTAS AUTOMOVILISTICAS 2010                                                                            Primer trimestre</t>
  </si>
  <si>
    <t xml:space="preserve">RENAULT MEGANE </t>
  </si>
  <si>
    <t>SEAT IBIZA</t>
  </si>
  <si>
    <t>CITOREN C4</t>
  </si>
  <si>
    <t>MEDIA</t>
  </si>
  <si>
    <t xml:space="preserve">Enero </t>
  </si>
  <si>
    <t>Mayo</t>
  </si>
  <si>
    <t>Junio</t>
  </si>
  <si>
    <t>DIA Y HORA</t>
  </si>
  <si>
    <t>Lado (cm)</t>
  </si>
  <si>
    <t>Area (cm)</t>
  </si>
  <si>
    <t>Volumen (cm2)</t>
  </si>
  <si>
    <t xml:space="preserve">Area y volumen del cubo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</si>
</sst>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€&quot;"/>
    <numFmt numFmtId="165" formatCode="[$-C0A]d\ &quot;de&quot;\ mmmm\ &quot;de&quot;\ yyyy;@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auto="1"/>
      </patternFill>
    </fill>
  </fills>
  <borders count="36">
    <border>
      <left/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ck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/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1"/>
    <xf numFmtId="0" fontId="1" fillId="3" borderId="1" xfId="0" applyFont="1" applyFill="1" applyBorder="1" applyAlignment="1">
      <alignment horizontal="center"/>
    </xf>
    <xf numFmtId="0" fontId="1" fillId="5" borderId="0" xfId="0" applyFont="1" applyFill="1" applyBorder="1"/>
    <xf numFmtId="0" fontId="1" fillId="5" borderId="0" xfId="0" applyNumberFormat="1" applyFont="1" applyFill="1" applyBorder="1"/>
    <xf numFmtId="164" fontId="0" fillId="0" borderId="0" xfId="0" applyNumberFormat="1"/>
    <xf numFmtId="0" fontId="0" fillId="7" borderId="7" xfId="0" applyFill="1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9" borderId="0" xfId="0" applyFont="1" applyFill="1"/>
    <xf numFmtId="0" fontId="6" fillId="0" borderId="31" xfId="0" applyFont="1" applyBorder="1"/>
    <xf numFmtId="0" fontId="6" fillId="0" borderId="0" xfId="0" applyFont="1" applyBorder="1"/>
    <xf numFmtId="0" fontId="6" fillId="0" borderId="32" xfId="0" applyFont="1" applyBorder="1"/>
    <xf numFmtId="164" fontId="4" fillId="5" borderId="0" xfId="0" applyNumberFormat="1" applyFont="1" applyFill="1" applyBorder="1"/>
    <xf numFmtId="0" fontId="4" fillId="5" borderId="0" xfId="0" applyFont="1" applyFill="1" applyBorder="1"/>
    <xf numFmtId="164" fontId="4" fillId="11" borderId="0" xfId="0" applyNumberFormat="1" applyFont="1" applyFill="1" applyBorder="1"/>
    <xf numFmtId="0" fontId="0" fillId="0" borderId="1" xfId="0" applyFont="1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3" xfId="0" applyBorder="1" applyProtection="1">
      <protection locked="0"/>
    </xf>
    <xf numFmtId="0" fontId="4" fillId="0" borderId="15" xfId="0" applyFont="1" applyBorder="1" applyProtection="1"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/>
      <protection hidden="1"/>
    </xf>
    <xf numFmtId="164" fontId="0" fillId="0" borderId="19" xfId="0" applyNumberFormat="1" applyBorder="1" applyAlignment="1" applyProtection="1">
      <alignment horizontal="center"/>
      <protection locked="0"/>
    </xf>
    <xf numFmtId="164" fontId="0" fillId="0" borderId="20" xfId="0" applyNumberFormat="1" applyBorder="1" applyAlignment="1" applyProtection="1">
      <alignment horizontal="center"/>
      <protection locked="0"/>
    </xf>
    <xf numFmtId="164" fontId="0" fillId="0" borderId="22" xfId="0" applyNumberFormat="1" applyBorder="1" applyAlignment="1" applyProtection="1">
      <alignment horizontal="center"/>
      <protection locked="0"/>
    </xf>
    <xf numFmtId="164" fontId="0" fillId="0" borderId="23" xfId="0" applyNumberFormat="1" applyBorder="1" applyAlignment="1" applyProtection="1">
      <alignment horizontal="center"/>
      <protection locked="0"/>
    </xf>
    <xf numFmtId="164" fontId="0" fillId="0" borderId="25" xfId="0" applyNumberFormat="1" applyBorder="1" applyAlignment="1" applyProtection="1">
      <alignment horizontal="center"/>
      <protection locked="0"/>
    </xf>
    <xf numFmtId="164" fontId="0" fillId="0" borderId="26" xfId="0" applyNumberFormat="1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2" fillId="2" borderId="0" xfId="0" applyFont="1" applyFill="1" applyAlignment="1">
      <alignment horizontal="left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5" fillId="8" borderId="0" xfId="0" applyFont="1" applyFill="1" applyAlignment="1">
      <alignment horizontal="center" wrapText="1"/>
    </xf>
    <xf numFmtId="165" fontId="0" fillId="9" borderId="0" xfId="0" applyNumberFormat="1" applyFont="1" applyFill="1" applyAlignment="1" applyProtection="1">
      <alignment horizontal="center"/>
      <protection hidden="1"/>
    </xf>
    <xf numFmtId="0" fontId="1" fillId="10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8">
    <dxf>
      <font>
        <u val="double"/>
      </font>
    </dxf>
    <dxf>
      <font>
        <u val="double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8F45C7"/>
      <color rgb="FFFF33CC"/>
      <color rgb="FFCD8585"/>
      <color rgb="FFFF6969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[Practica 6.xlsx]Ejercicio 1!TablaDinámica1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2700000" scaled="1"/>
            <a:tileRect/>
          </a:gradFill>
          <a:ln>
            <a:solidFill>
              <a:schemeClr val="tx1"/>
            </a:solidFill>
          </a:ln>
          <a:effectLst/>
        </c:spPr>
      </c:pivotFmt>
      <c:pivotFmt>
        <c:idx val="30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tx1"/>
            </a:solidFill>
          </a:ln>
          <a:effectLst/>
        </c:spPr>
        <c:marker>
          <c:symbol val="none"/>
        </c:marker>
      </c:pivotFmt>
      <c:pivotFmt>
        <c:idx val="31"/>
        <c:spPr>
          <a:solidFill>
            <a:srgbClr val="8F45C7"/>
          </a:solidFill>
          <a:ln>
            <a:solidFill>
              <a:schemeClr val="tx1"/>
            </a:solidFill>
          </a:ln>
          <a:effectLst/>
        </c:spPr>
        <c:marker>
          <c:symbol val="none"/>
        </c:marker>
      </c:pivotFmt>
      <c:pivotFmt>
        <c:idx val="32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2700000" scaled="1"/>
            <a:tileRect/>
          </a:gradFill>
          <a:ln>
            <a:solidFill>
              <a:schemeClr val="tx1"/>
            </a:solidFill>
          </a:ln>
          <a:effectLst/>
        </c:spPr>
        <c:marker>
          <c:symbol val="none"/>
        </c:marker>
      </c:pivotFmt>
      <c:pivotFmt>
        <c:idx val="33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2700000" scaled="1"/>
            <a:tileRect/>
          </a:gradFill>
          <a:ln>
            <a:solidFill>
              <a:sysClr val="windowText" lastClr="000000"/>
            </a:solidFill>
          </a:ln>
          <a:effectLst/>
        </c:spPr>
        <c:marker>
          <c:symbol val="none"/>
        </c:marker>
      </c:pivotFmt>
      <c:pivotFmt>
        <c:idx val="34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2700000" scaled="1"/>
            <a:tileRect/>
          </a:gradFill>
          <a:ln>
            <a:solidFill>
              <a:sysClr val="windowText" lastClr="000000"/>
            </a:solidFill>
          </a:ln>
          <a:effectLst/>
        </c:spPr>
        <c:marker>
          <c:symbol val="none"/>
        </c:marker>
      </c:pivotFmt>
      <c:pivotFmt>
        <c:idx val="35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2700000" scaled="1"/>
            <a:tileRect/>
          </a:gradFill>
          <a:ln>
            <a:solidFill>
              <a:sysClr val="windowText" lastClr="000000"/>
            </a:solidFill>
          </a:ln>
          <a:effectLst/>
        </c:spPr>
        <c:marker>
          <c:symbol val="none"/>
        </c:marker>
      </c:pivotFmt>
      <c:pivotFmt>
        <c:idx val="36"/>
        <c:spPr>
          <a:gradFill flip="none" rotWithShape="1">
            <a:gsLst>
              <a:gs pos="0">
                <a:srgbClr val="8F45C7">
                  <a:tint val="66000"/>
                  <a:satMod val="160000"/>
                </a:srgbClr>
              </a:gs>
              <a:gs pos="50000">
                <a:srgbClr val="8F45C7">
                  <a:tint val="44500"/>
                  <a:satMod val="160000"/>
                </a:srgbClr>
              </a:gs>
              <a:gs pos="100000">
                <a:srgbClr val="8F45C7">
                  <a:tint val="23500"/>
                  <a:satMod val="160000"/>
                </a:srgbClr>
              </a:gs>
            </a:gsLst>
            <a:lin ang="8100000" scaled="1"/>
            <a:tileRect/>
          </a:gradFill>
          <a:ln>
            <a:solidFill>
              <a:sysClr val="windowText" lastClr="000000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1'!$H$8</c:f>
              <c:strCache>
                <c:ptCount val="1"/>
                <c:pt idx="0">
                  <c:v>Suma de X</c:v>
                </c:pt>
              </c:strCache>
            </c:strRef>
          </c:tx>
          <c:spPr>
            <a:gradFill flip="none" rotWithShape="1">
              <a:gsLst>
                <a:gs pos="0">
                  <a:srgbClr val="8F45C7">
                    <a:tint val="66000"/>
                    <a:satMod val="160000"/>
                  </a:srgbClr>
                </a:gs>
                <a:gs pos="50000">
                  <a:srgbClr val="8F45C7">
                    <a:tint val="44500"/>
                    <a:satMod val="160000"/>
                  </a:srgbClr>
                </a:gs>
                <a:gs pos="100000">
                  <a:srgbClr val="8F45C7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1'!$H$9</c:f>
              <c:numCache>
                <c:formatCode>General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A-449B-867E-95741A75D3D0}"/>
            </c:ext>
          </c:extLst>
        </c:ser>
        <c:ser>
          <c:idx val="1"/>
          <c:order val="1"/>
          <c:tx>
            <c:strRef>
              <c:f>'Ejercicio 1'!$I$8</c:f>
              <c:strCache>
                <c:ptCount val="1"/>
                <c:pt idx="0">
                  <c:v>Suma de Seno (x)</c:v>
                </c:pt>
              </c:strCache>
            </c:strRef>
          </c:tx>
          <c:spPr>
            <a:solidFill>
              <a:srgbClr val="8F45C7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8F45C7">
                      <a:tint val="66000"/>
                      <a:satMod val="160000"/>
                    </a:srgbClr>
                  </a:gs>
                  <a:gs pos="50000">
                    <a:srgbClr val="8F45C7">
                      <a:tint val="44500"/>
                      <a:satMod val="160000"/>
                    </a:srgbClr>
                  </a:gs>
                  <a:gs pos="100000">
                    <a:srgbClr val="8F45C7">
                      <a:tint val="23500"/>
                      <a:satMod val="160000"/>
                    </a:srgbClr>
                  </a:gs>
                </a:gsLst>
                <a:lin ang="2700000" scaled="1"/>
                <a:tileRect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056-4112-B176-E5AEB385C84C}"/>
              </c:ext>
            </c:extLst>
          </c:dPt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1'!$I$9</c:f>
              <c:numCache>
                <c:formatCode>General</c:formatCode>
                <c:ptCount val="1"/>
                <c:pt idx="0">
                  <c:v>0.29552020666133955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A-449B-867E-95741A75D3D0}"/>
            </c:ext>
          </c:extLst>
        </c:ser>
        <c:ser>
          <c:idx val="2"/>
          <c:order val="2"/>
          <c:tx>
            <c:strRef>
              <c:f>'Ejercicio 1'!$J$8</c:f>
              <c:strCache>
                <c:ptCount val="1"/>
                <c:pt idx="0">
                  <c:v>Suma de Coseno (x)</c:v>
                </c:pt>
              </c:strCache>
            </c:strRef>
          </c:tx>
          <c:spPr>
            <a:gradFill flip="none" rotWithShape="1">
              <a:gsLst>
                <a:gs pos="0">
                  <a:srgbClr val="8F45C7">
                    <a:tint val="66000"/>
                    <a:satMod val="160000"/>
                  </a:srgbClr>
                </a:gs>
                <a:gs pos="50000">
                  <a:srgbClr val="8F45C7">
                    <a:tint val="44500"/>
                    <a:satMod val="160000"/>
                  </a:srgbClr>
                </a:gs>
                <a:gs pos="100000">
                  <a:srgbClr val="8F45C7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1'!$J$9</c:f>
              <c:numCache>
                <c:formatCode>General</c:formatCode>
                <c:ptCount val="1"/>
                <c:pt idx="0">
                  <c:v>0.95533648912560598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A-449B-867E-95741A75D3D0}"/>
            </c:ext>
          </c:extLst>
        </c:ser>
        <c:ser>
          <c:idx val="3"/>
          <c:order val="3"/>
          <c:tx>
            <c:strRef>
              <c:f>'Ejercicio 1'!$K$8</c:f>
              <c:strCache>
                <c:ptCount val="1"/>
                <c:pt idx="0">
                  <c:v>Suma de Tangente (x)</c:v>
                </c:pt>
              </c:strCache>
            </c:strRef>
          </c:tx>
          <c:spPr>
            <a:gradFill flip="none" rotWithShape="1">
              <a:gsLst>
                <a:gs pos="0">
                  <a:srgbClr val="8F45C7">
                    <a:tint val="66000"/>
                    <a:satMod val="160000"/>
                  </a:srgbClr>
                </a:gs>
                <a:gs pos="50000">
                  <a:srgbClr val="8F45C7">
                    <a:tint val="44500"/>
                    <a:satMod val="160000"/>
                  </a:srgbClr>
                </a:gs>
                <a:gs pos="100000">
                  <a:srgbClr val="8F45C7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1'!$K$9</c:f>
              <c:numCache>
                <c:formatCode>General</c:formatCode>
                <c:ptCount val="1"/>
                <c:pt idx="0">
                  <c:v>0.30933624960962325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FA-449B-867E-95741A75D3D0}"/>
            </c:ext>
          </c:extLst>
        </c:ser>
        <c:ser>
          <c:idx val="4"/>
          <c:order val="4"/>
          <c:tx>
            <c:strRef>
              <c:f>'Ejercicio 1'!$L$8</c:f>
              <c:strCache>
                <c:ptCount val="1"/>
                <c:pt idx="0">
                  <c:v>Suma de Arcoseno (x)</c:v>
                </c:pt>
              </c:strCache>
            </c:strRef>
          </c:tx>
          <c:spPr>
            <a:gradFill flip="none" rotWithShape="1">
              <a:gsLst>
                <a:gs pos="0">
                  <a:srgbClr val="8F45C7">
                    <a:tint val="66000"/>
                    <a:satMod val="160000"/>
                  </a:srgbClr>
                </a:gs>
                <a:gs pos="50000">
                  <a:srgbClr val="8F45C7">
                    <a:tint val="44500"/>
                    <a:satMod val="160000"/>
                  </a:srgbClr>
                </a:gs>
                <a:gs pos="100000">
                  <a:srgbClr val="8F45C7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1'!$L$9</c:f>
              <c:numCache>
                <c:formatCode>General</c:formatCode>
                <c:ptCount val="1"/>
                <c:pt idx="0">
                  <c:v>1.0453385141288605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FA-449B-867E-95741A75D3D0}"/>
            </c:ext>
          </c:extLst>
        </c:ser>
        <c:ser>
          <c:idx val="5"/>
          <c:order val="5"/>
          <c:tx>
            <c:strRef>
              <c:f>'Ejercicio 1'!$M$8</c:f>
              <c:strCache>
                <c:ptCount val="1"/>
                <c:pt idx="0">
                  <c:v>Suma de Arcotangente (x)</c:v>
                </c:pt>
              </c:strCache>
            </c:strRef>
          </c:tx>
          <c:spPr>
            <a:gradFill flip="none" rotWithShape="1">
              <a:gsLst>
                <a:gs pos="0">
                  <a:srgbClr val="8F45C7">
                    <a:tint val="66000"/>
                    <a:satMod val="160000"/>
                  </a:srgbClr>
                </a:gs>
                <a:gs pos="50000">
                  <a:srgbClr val="8F45C7">
                    <a:tint val="44500"/>
                    <a:satMod val="160000"/>
                  </a:srgbClr>
                </a:gs>
                <a:gs pos="100000">
                  <a:srgbClr val="8F45C7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1'!$M$9</c:f>
              <c:numCache>
                <c:formatCode>General</c:formatCode>
                <c:ptCount val="1"/>
                <c:pt idx="0">
                  <c:v>0.2914567944778671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FA-449B-867E-95741A75D3D0}"/>
            </c:ext>
          </c:extLst>
        </c:ser>
        <c:ser>
          <c:idx val="6"/>
          <c:order val="6"/>
          <c:tx>
            <c:strRef>
              <c:f>'Ejercicio 1'!$N$8</c:f>
              <c:strCache>
                <c:ptCount val="1"/>
                <c:pt idx="0">
                  <c:v>Suma de Arcocoseno(x)</c:v>
                </c:pt>
              </c:strCache>
            </c:strRef>
          </c:tx>
          <c:spPr>
            <a:gradFill flip="none" rotWithShape="1">
              <a:gsLst>
                <a:gs pos="0">
                  <a:srgbClr val="8F45C7">
                    <a:tint val="66000"/>
                    <a:satMod val="160000"/>
                  </a:srgbClr>
                </a:gs>
                <a:gs pos="50000">
                  <a:srgbClr val="8F45C7">
                    <a:tint val="44500"/>
                    <a:satMod val="160000"/>
                  </a:srgbClr>
                </a:gs>
                <a:gs pos="100000">
                  <a:srgbClr val="8F45C7">
                    <a:tint val="23500"/>
                    <a:satMod val="160000"/>
                  </a:srgbClr>
                </a:gs>
              </a:gsLst>
              <a:lin ang="8100000" scaled="1"/>
              <a:tileRect/>
            </a:gra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'Ejercicio 1'!$H$9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'Ejercicio 1'!$N$9</c:f>
              <c:numCache>
                <c:formatCode>General</c:formatCode>
                <c:ptCount val="1"/>
                <c:pt idx="0">
                  <c:v>1.266103672779499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FA-449B-867E-95741A75D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816511"/>
        <c:axId val="1224823167"/>
      </c:barChart>
      <c:catAx>
        <c:axId val="122481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4823167"/>
        <c:crosses val="autoZero"/>
        <c:auto val="1"/>
        <c:lblAlgn val="ctr"/>
        <c:lblOffset val="100"/>
        <c:noMultiLvlLbl val="0"/>
      </c:catAx>
      <c:valAx>
        <c:axId val="12248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481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FUNCIONES TRIGOMETRICAS</a:t>
            </a:r>
          </a:p>
        </c:rich>
      </c:tx>
      <c:layout>
        <c:manualLayout>
          <c:xMode val="edge"/>
          <c:yMode val="edge"/>
          <c:x val="8.069651741293532E-2"/>
          <c:y val="0.1130952380952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8F45C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'Ejercicio 1'!$A$2:$G$2</c:f>
              <c:strCache>
                <c:ptCount val="7"/>
                <c:pt idx="0">
                  <c:v>X</c:v>
                </c:pt>
                <c:pt idx="1">
                  <c:v>Seno (x)</c:v>
                </c:pt>
                <c:pt idx="2">
                  <c:v>Coseno (x)</c:v>
                </c:pt>
                <c:pt idx="3">
                  <c:v>Tangente (x)</c:v>
                </c:pt>
                <c:pt idx="4">
                  <c:v>Arcoseno (x)</c:v>
                </c:pt>
                <c:pt idx="5">
                  <c:v>Arcocoseno(x)</c:v>
                </c:pt>
                <c:pt idx="6">
                  <c:v>Arcotangente (x)</c:v>
                </c:pt>
              </c:strCache>
            </c:strRef>
          </c:cat>
          <c:val>
            <c:numRef>
              <c:f>'Ejercicio 1'!$A$3:$G$3</c:f>
              <c:numCache>
                <c:formatCode>General</c:formatCode>
                <c:ptCount val="7"/>
                <c:pt idx="0">
                  <c:v>0.3</c:v>
                </c:pt>
                <c:pt idx="1">
                  <c:v>0.29552020666133955</c:v>
                </c:pt>
                <c:pt idx="2">
                  <c:v>0.95533648912560598</c:v>
                </c:pt>
                <c:pt idx="3">
                  <c:v>0.30933624960962325</c:v>
                </c:pt>
                <c:pt idx="4">
                  <c:v>0.30469265401539752</c:v>
                </c:pt>
                <c:pt idx="5">
                  <c:v>1.266103672779499</c:v>
                </c:pt>
                <c:pt idx="6">
                  <c:v>0.2914567944778671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6-4A56-96A8-EA25052FAF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6868511"/>
        <c:axId val="1066861855"/>
      </c:lineChart>
      <c:catAx>
        <c:axId val="10668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6861855"/>
        <c:crosses val="autoZero"/>
        <c:auto val="1"/>
        <c:lblAlgn val="ctr"/>
        <c:lblOffset val="100"/>
        <c:noMultiLvlLbl val="0"/>
      </c:catAx>
      <c:valAx>
        <c:axId val="10668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686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309422106628011E-2"/>
          <c:y val="5.0925925925925923E-2"/>
          <c:w val="0.89449624246788051"/>
          <c:h val="0.635385680956547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'Ejercicio 2'!$D$1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'Ejercicio 2'!$A$2:$B$7</c:f>
              <c:multiLvlStrCache>
                <c:ptCount val="6"/>
                <c:lvl>
                  <c:pt idx="0">
                    <c:v>12,99 €</c:v>
                  </c:pt>
                  <c:pt idx="1">
                    <c:v>9,99 €</c:v>
                  </c:pt>
                  <c:pt idx="2">
                    <c:v>14,99 €</c:v>
                  </c:pt>
                  <c:pt idx="3">
                    <c:v>5,99 €</c:v>
                  </c:pt>
                  <c:pt idx="4">
                    <c:v>11,99 €</c:v>
                  </c:pt>
                  <c:pt idx="5">
                    <c:v>13,99 €</c:v>
                  </c:pt>
                </c:lvl>
                <c:lvl>
                  <c:pt idx="0">
                    <c:v>teclado</c:v>
                  </c:pt>
                  <c:pt idx="1">
                    <c:v>raton optico</c:v>
                  </c:pt>
                  <c:pt idx="2">
                    <c:v>raton inalambrico</c:v>
                  </c:pt>
                  <c:pt idx="3">
                    <c:v>memoria usb 4GB</c:v>
                  </c:pt>
                  <c:pt idx="4">
                    <c:v>memoria usb 16GB</c:v>
                  </c:pt>
                  <c:pt idx="5">
                    <c:v>memoria usb 8GB</c:v>
                  </c:pt>
                </c:lvl>
              </c:multiLvlStrCache>
            </c:multiLvlStrRef>
          </c:cat>
          <c:val>
            <c:numRef>
              <c:f>'Ejercicio 2'!$D$2:$D$7</c:f>
              <c:numCache>
                <c:formatCode>#,##0.00\ "€"</c:formatCode>
                <c:ptCount val="6"/>
                <c:pt idx="0">
                  <c:v>155.88</c:v>
                </c:pt>
                <c:pt idx="1">
                  <c:v>39.96</c:v>
                </c:pt>
                <c:pt idx="2">
                  <c:v>104.93</c:v>
                </c:pt>
                <c:pt idx="3">
                  <c:v>11.98</c:v>
                </c:pt>
                <c:pt idx="4">
                  <c:v>203.83</c:v>
                </c:pt>
                <c:pt idx="5">
                  <c:v>209.85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6-4DB4-87E1-F7F7A905E773}"/>
            </c:ext>
          </c:extLst>
        </c:ser>
        <c:ser>
          <c:idx val="3"/>
          <c:order val="1"/>
          <c:tx>
            <c:strRef>
              <c:f>'Ejercicio 2'!$F$1</c:f>
              <c:strCache>
                <c:ptCount val="1"/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'Ejercicio 2'!$A$2:$B$7</c:f>
              <c:multiLvlStrCache>
                <c:ptCount val="6"/>
                <c:lvl>
                  <c:pt idx="0">
                    <c:v>12,99 €</c:v>
                  </c:pt>
                  <c:pt idx="1">
                    <c:v>9,99 €</c:v>
                  </c:pt>
                  <c:pt idx="2">
                    <c:v>14,99 €</c:v>
                  </c:pt>
                  <c:pt idx="3">
                    <c:v>5,99 €</c:v>
                  </c:pt>
                  <c:pt idx="4">
                    <c:v>11,99 €</c:v>
                  </c:pt>
                  <c:pt idx="5">
                    <c:v>13,99 €</c:v>
                  </c:pt>
                </c:lvl>
                <c:lvl>
                  <c:pt idx="0">
                    <c:v>teclado</c:v>
                  </c:pt>
                  <c:pt idx="1">
                    <c:v>raton optico</c:v>
                  </c:pt>
                  <c:pt idx="2">
                    <c:v>raton inalambrico</c:v>
                  </c:pt>
                  <c:pt idx="3">
                    <c:v>memoria usb 4GB</c:v>
                  </c:pt>
                  <c:pt idx="4">
                    <c:v>memoria usb 16GB</c:v>
                  </c:pt>
                  <c:pt idx="5">
                    <c:v>memoria usb 8GB</c:v>
                  </c:pt>
                </c:lvl>
              </c:multiLvlStrCache>
            </c:multiLvlStrRef>
          </c:cat>
          <c:val>
            <c:numRef>
              <c:f>'Ejercicio 2'!$F$2:$F$7</c:f>
              <c:numCache>
                <c:formatCode>#,##0.00\ "€"</c:formatCode>
                <c:ptCount val="6"/>
                <c:pt idx="0">
                  <c:v>168.87</c:v>
                </c:pt>
                <c:pt idx="1">
                  <c:v>19.98</c:v>
                </c:pt>
                <c:pt idx="2">
                  <c:v>134.91</c:v>
                </c:pt>
                <c:pt idx="3">
                  <c:v>5.99</c:v>
                </c:pt>
                <c:pt idx="4">
                  <c:v>179.85</c:v>
                </c:pt>
                <c:pt idx="5">
                  <c:v>321.77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06-4DB4-87E1-F7F7A905E773}"/>
            </c:ext>
          </c:extLst>
        </c:ser>
        <c:ser>
          <c:idx val="5"/>
          <c:order val="2"/>
          <c:tx>
            <c:strRef>
              <c:f>'Ejercicio 2'!$H$1</c:f>
              <c:strCache>
                <c:ptCount val="1"/>
              </c:strCache>
            </c:strRef>
          </c:tx>
          <c:spPr>
            <a:solidFill>
              <a:srgbClr val="FF33CC"/>
            </a:solidFill>
            <a:ln>
              <a:noFill/>
            </a:ln>
            <a:effectLst/>
          </c:spPr>
          <c:invertIfNegative val="0"/>
          <c:cat>
            <c:multiLvlStrRef>
              <c:f>'Ejercicio 2'!$A$2:$B$7</c:f>
              <c:multiLvlStrCache>
                <c:ptCount val="6"/>
                <c:lvl>
                  <c:pt idx="0">
                    <c:v>12,99 €</c:v>
                  </c:pt>
                  <c:pt idx="1">
                    <c:v>9,99 €</c:v>
                  </c:pt>
                  <c:pt idx="2">
                    <c:v>14,99 €</c:v>
                  </c:pt>
                  <c:pt idx="3">
                    <c:v>5,99 €</c:v>
                  </c:pt>
                  <c:pt idx="4">
                    <c:v>11,99 €</c:v>
                  </c:pt>
                  <c:pt idx="5">
                    <c:v>13,99 €</c:v>
                  </c:pt>
                </c:lvl>
                <c:lvl>
                  <c:pt idx="0">
                    <c:v>teclado</c:v>
                  </c:pt>
                  <c:pt idx="1">
                    <c:v>raton optico</c:v>
                  </c:pt>
                  <c:pt idx="2">
                    <c:v>raton inalambrico</c:v>
                  </c:pt>
                  <c:pt idx="3">
                    <c:v>memoria usb 4GB</c:v>
                  </c:pt>
                  <c:pt idx="4">
                    <c:v>memoria usb 16GB</c:v>
                  </c:pt>
                  <c:pt idx="5">
                    <c:v>memoria usb 8GB</c:v>
                  </c:pt>
                </c:lvl>
              </c:multiLvlStrCache>
            </c:multiLvlStrRef>
          </c:cat>
          <c:val>
            <c:numRef>
              <c:f>'Ejercicio 2'!$H$2:$H$7</c:f>
              <c:numCache>
                <c:formatCode>#,##0.00\ "€"</c:formatCode>
                <c:ptCount val="6"/>
                <c:pt idx="0">
                  <c:v>181.86</c:v>
                </c:pt>
                <c:pt idx="1">
                  <c:v>0</c:v>
                </c:pt>
                <c:pt idx="2">
                  <c:v>89.94</c:v>
                </c:pt>
                <c:pt idx="3">
                  <c:v>0</c:v>
                </c:pt>
                <c:pt idx="4">
                  <c:v>203.83</c:v>
                </c:pt>
                <c:pt idx="5">
                  <c:v>125.91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06-4DB4-87E1-F7F7A905E773}"/>
            </c:ext>
          </c:extLst>
        </c:ser>
        <c:ser>
          <c:idx val="7"/>
          <c:order val="3"/>
          <c:tx>
            <c:strRef>
              <c:f>'Ejercicio 2'!$J$1</c:f>
              <c:strCache>
                <c:ptCount val="1"/>
              </c:strCache>
            </c:strRef>
          </c:tx>
          <c:spPr>
            <a:solidFill>
              <a:schemeClr val="accent2"/>
            </a:solidFill>
            <a:ln w="19050">
              <a:noFill/>
            </a:ln>
            <a:effectLst/>
          </c:spPr>
          <c:invertIfNegative val="0"/>
          <c:cat>
            <c:multiLvlStrRef>
              <c:f>'Ejercicio 2'!$A$2:$B$7</c:f>
              <c:multiLvlStrCache>
                <c:ptCount val="6"/>
                <c:lvl>
                  <c:pt idx="0">
                    <c:v>12,99 €</c:v>
                  </c:pt>
                  <c:pt idx="1">
                    <c:v>9,99 €</c:v>
                  </c:pt>
                  <c:pt idx="2">
                    <c:v>14,99 €</c:v>
                  </c:pt>
                  <c:pt idx="3">
                    <c:v>5,99 €</c:v>
                  </c:pt>
                  <c:pt idx="4">
                    <c:v>11,99 €</c:v>
                  </c:pt>
                  <c:pt idx="5">
                    <c:v>13,99 €</c:v>
                  </c:pt>
                </c:lvl>
                <c:lvl>
                  <c:pt idx="0">
                    <c:v>teclado</c:v>
                  </c:pt>
                  <c:pt idx="1">
                    <c:v>raton optico</c:v>
                  </c:pt>
                  <c:pt idx="2">
                    <c:v>raton inalambrico</c:v>
                  </c:pt>
                  <c:pt idx="3">
                    <c:v>memoria usb 4GB</c:v>
                  </c:pt>
                  <c:pt idx="4">
                    <c:v>memoria usb 16GB</c:v>
                  </c:pt>
                  <c:pt idx="5">
                    <c:v>memoria usb 8GB</c:v>
                  </c:pt>
                </c:lvl>
              </c:multiLvlStrCache>
            </c:multiLvlStrRef>
          </c:cat>
          <c:val>
            <c:numRef>
              <c:f>'Ejercicio 2'!$J$2:$J$7</c:f>
              <c:numCache>
                <c:formatCode>#,##0.00\ "€"</c:formatCode>
                <c:ptCount val="6"/>
                <c:pt idx="0">
                  <c:v>194.85</c:v>
                </c:pt>
                <c:pt idx="1">
                  <c:v>9.99</c:v>
                </c:pt>
                <c:pt idx="2">
                  <c:v>134.91</c:v>
                </c:pt>
                <c:pt idx="3">
                  <c:v>53.910000000000004</c:v>
                </c:pt>
                <c:pt idx="4">
                  <c:v>131.89000000000001</c:v>
                </c:pt>
                <c:pt idx="5">
                  <c:v>167.88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06-4DB4-87E1-F7F7A905E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580735"/>
        <c:axId val="710577823"/>
      </c:barChart>
      <c:catAx>
        <c:axId val="71058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0577823"/>
        <c:crosses val="autoZero"/>
        <c:auto val="1"/>
        <c:lblAlgn val="ctr"/>
        <c:lblOffset val="100"/>
        <c:noMultiLvlLbl val="0"/>
      </c:catAx>
      <c:valAx>
        <c:axId val="71057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058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9939518429761499E-2"/>
          <c:y val="0.16876937552617244"/>
          <c:w val="0.95006041813392694"/>
          <c:h val="0.70361822181134237"/>
        </c:manualLayout>
      </c:layout>
      <c:pie3DChart>
        <c:varyColors val="1"/>
        <c:ser>
          <c:idx val="0"/>
          <c:order val="0"/>
          <c:tx>
            <c:strRef>
              <c:f>'Ejercicio 3'!$C$3</c:f>
              <c:strCache>
                <c:ptCount val="1"/>
                <c:pt idx="0">
                  <c:v>RENAULT MEGANE </c:v>
                </c:pt>
              </c:strCache>
            </c:strRef>
          </c:tx>
          <c:explosion val="1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338-45C5-AB69-F45211222F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4338-45C5-AB69-F45211222F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338-45C5-AB69-F45211222F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4338-45C5-AB69-F45211222F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338-45C5-AB69-F45211222F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4338-45C5-AB69-F45211222F1E}"/>
              </c:ext>
            </c:extLst>
          </c:dPt>
          <c:dLbls>
            <c:dLbl>
              <c:idx val="0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3-4338-45C5-AB69-F45211222F1E}"/>
                </c:ext>
              </c:extLst>
            </c:dLbl>
            <c:dLbl>
              <c:idx val="1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2-4338-45C5-AB69-F45211222F1E}"/>
                </c:ext>
              </c:extLst>
            </c:dLbl>
            <c:dLbl>
              <c:idx val="2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1-4338-45C5-AB69-F45211222F1E}"/>
                </c:ext>
              </c:extLst>
            </c:dLbl>
            <c:dLbl>
              <c:idx val="3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6-4338-45C5-AB69-F45211222F1E}"/>
                </c:ext>
              </c:extLst>
            </c:dLbl>
            <c:dLbl>
              <c:idx val="4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5-4338-45C5-AB69-F45211222F1E}"/>
                </c:ext>
              </c:extLst>
            </c:dLbl>
            <c:dLbl>
              <c:idx val="5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4-4338-45C5-AB69-F45211222F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'Ejercicio 3'!$B$4:$B$9</c:f>
              <c:strCache>
                <c:ptCount val="6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'Ejercicio 3'!$C$4:$C$9</c:f>
              <c:numCache>
                <c:formatCode>#,##0.00\ "€"</c:formatCode>
                <c:ptCount val="6"/>
                <c:pt idx="0">
                  <c:v>20714</c:v>
                </c:pt>
                <c:pt idx="1">
                  <c:v>20926</c:v>
                </c:pt>
                <c:pt idx="2">
                  <c:v>20961</c:v>
                </c:pt>
                <c:pt idx="3">
                  <c:v>21096</c:v>
                </c:pt>
                <c:pt idx="4">
                  <c:v>21132</c:v>
                </c:pt>
                <c:pt idx="5">
                  <c:v>21491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8-45C5-AB69-F45211222F1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1879636561675287E-2"/>
          <c:y val="0.1687693657073806"/>
          <c:w val="0.95340593463214285"/>
          <c:h val="0.70897039741245493"/>
        </c:manualLayout>
      </c:layout>
      <c:pie3DChart>
        <c:varyColors val="1"/>
        <c:ser>
          <c:idx val="1"/>
          <c:order val="1"/>
          <c:tx>
            <c:strRef>
              <c:f>'Ejercicio 3'!$D$3</c:f>
              <c:strCache>
                <c:ptCount val="1"/>
                <c:pt idx="0">
                  <c:v>SEAT IBIZA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0833-4E34-8B12-55C81E9745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4-0833-4E34-8B12-55C81E9745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0833-4E34-8B12-55C81E9745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0-0833-4E34-8B12-55C81E9745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0833-4E34-8B12-55C81E9745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2-0833-4E34-8B12-55C81E974582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'Ejercicio 3'!$B$4:$B$9</c:f>
              <c:strCache>
                <c:ptCount val="6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'Ejercicio 3'!$D$4:$D$9</c:f>
              <c:numCache>
                <c:formatCode>#,##0.00\ "€"</c:formatCode>
                <c:ptCount val="6"/>
                <c:pt idx="0">
                  <c:v>13273</c:v>
                </c:pt>
                <c:pt idx="1">
                  <c:v>13340</c:v>
                </c:pt>
                <c:pt idx="2">
                  <c:v>13415</c:v>
                </c:pt>
                <c:pt idx="3">
                  <c:v>13701</c:v>
                </c:pt>
                <c:pt idx="4">
                  <c:v>13768</c:v>
                </c:pt>
                <c:pt idx="5">
                  <c:v>13864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33-4E34-8B12-55C81E9745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'Ejercicio 3'!$C$3</c15:sqref>
                        </c15:formulaRef>
                      </c:ext>
                    </c:extLst>
                    <c:strCache>
                      <c:ptCount val="1"/>
                      <c:pt idx="0">
                        <c:v>RENAULT MEGANE </c:v>
                      </c:pt>
                    </c:strCache>
                  </c:strRef>
                </c:tx>
                <c:explosion val="24"/>
                <c:dPt>
                  <c:idx val="0"/>
                  <c:bubble3D val="0"/>
                  <c:explosion val="23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1-0833-4E34-8B12-55C81E97458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3-0833-4E34-8B12-55C81E97458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5-0833-4E34-8B12-55C81E97458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7-0833-4E34-8B12-55C81E97458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9-0833-4E34-8B12-55C81E97458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B-0833-4E34-8B12-55C81E974582}"/>
                    </c:ext>
                  </c:extLst>
                </c:dPt>
                <c:dLbls>
                  <c:dLbl>
                    <c:idx val="0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1-0833-4E34-8B12-55C81E974582}"/>
                      </c:ext>
                    </c:extLst>
                  </c:dLbl>
                  <c:dLbl>
                    <c:idx val="1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3-0833-4E34-8B12-55C81E974582}"/>
                      </c:ext>
                    </c:extLst>
                  </c:dLbl>
                  <c:dLbl>
                    <c:idx val="2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5-0833-4E34-8B12-55C81E974582}"/>
                      </c:ext>
                    </c:extLst>
                  </c:dLbl>
                  <c:dLbl>
                    <c:idx val="3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7-0833-4E34-8B12-55C81E974582}"/>
                      </c:ext>
                    </c:extLst>
                  </c:dLbl>
                  <c:dLbl>
                    <c:idx val="4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9-0833-4E34-8B12-55C81E974582}"/>
                      </c:ext>
                    </c:extLst>
                  </c:dLbl>
                  <c:dLbl>
                    <c:idx val="5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B-0833-4E34-8B12-55C81E97458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'Ejercicio 3'!$B$4:$B$9</c15:sqref>
                        </c15:formulaRef>
                      </c:ext>
                    </c:extLst>
                    <c:strCache>
                      <c:ptCount val="6"/>
                      <c:pt idx="0">
                        <c:v>Enero 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'Ejercicio 3'!$C$4:$C$9</c15:sqref>
                        </c15:formulaRef>
                      </c:ext>
                    </c:extLst>
                    <c:numCache>
                      <c:formatCode>#,##0.00\ "€"</c:formatCode>
                      <c:ptCount val="6"/>
                      <c:pt idx="0">
                        <c:v>20714</c:v>
                      </c:pt>
                      <c:pt idx="1">
                        <c:v>20926</c:v>
                      </c:pt>
                      <c:pt idx="2">
                        <c:v>20961</c:v>
                      </c:pt>
                      <c:pt idx="3">
                        <c:v>21096</c:v>
                      </c:pt>
                      <c:pt idx="4">
                        <c:v>21132</c:v>
                      </c:pt>
                      <c:pt idx="5">
                        <c:v>21491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0833-4E34-8B12-55C81E974582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380691543991757E-3"/>
          <c:y val="0.16337510698259186"/>
          <c:w val="0.94764492753623197"/>
          <c:h val="0.67660484506372232"/>
        </c:manualLayout>
      </c:layout>
      <c:pie3DChart>
        <c:varyColors val="1"/>
        <c:ser>
          <c:idx val="2"/>
          <c:order val="2"/>
          <c:tx>
            <c:strRef>
              <c:f>'Ejercicio 3'!$E$3</c:f>
              <c:strCache>
                <c:ptCount val="1"/>
                <c:pt idx="0">
                  <c:v>CITOREN C4</c:v>
                </c:pt>
              </c:strCache>
            </c:strRef>
          </c:tx>
          <c:explosion val="1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62DE-4909-90FE-CCC9A7FD80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4-62DE-4909-90FE-CCC9A7FD80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62DE-4909-90FE-CCC9A7FD80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0-62DE-4909-90FE-CCC9A7FD80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62DE-4909-90FE-CCC9A7FD80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2-62DE-4909-90FE-CCC9A7FD806E}"/>
              </c:ext>
            </c:extLst>
          </c:dPt>
          <c:dLbls>
            <c:dLbl>
              <c:idx val="0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13-62DE-4909-90FE-CCC9A7FD806E}"/>
                </c:ext>
              </c:extLst>
            </c:dLbl>
            <c:dLbl>
              <c:idx val="1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14-62DE-4909-90FE-CCC9A7FD806E}"/>
                </c:ext>
              </c:extLst>
            </c:dLbl>
            <c:dLbl>
              <c:idx val="2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0F-62DE-4909-90FE-CCC9A7FD806E}"/>
                </c:ext>
              </c:extLst>
            </c:dLbl>
            <c:dLbl>
              <c:idx val="3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10-62DE-4909-90FE-CCC9A7FD806E}"/>
                </c:ext>
              </c:extLst>
            </c:dLbl>
            <c:dLbl>
              <c:idx val="4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11-62DE-4909-90FE-CCC9A7FD806E}"/>
                </c:ext>
              </c:extLst>
            </c:dLbl>
            <c:dLbl>
              <c:idx val="5"/>
              <c:layout/>
              <c:spPr>
                <a:solidFill>
                  <a:sysClr val="window" lastClr="FFFFFF">
                    <a:alpha val="75000"/>
                  </a:sysClr>
                </a:solidFill>
                <a:ln w="9525"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  <c:ext xmlns:c16="http://schemas.microsoft.com/office/drawing/2014/chart" uri="{C3380CC4-5D6E-409C-BE32-E72D297353CC}">
                  <c16:uniqueId val="{00000012-62DE-4909-90FE-CCC9A7FD8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'Ejercicio 3'!$B$4:$B$9</c:f>
              <c:strCache>
                <c:ptCount val="6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'Ejercicio 3'!$E$4:$E$9</c:f>
              <c:numCache>
                <c:formatCode>#,##0.00\ "€"</c:formatCode>
                <c:ptCount val="6"/>
                <c:pt idx="0">
                  <c:v>16031</c:v>
                </c:pt>
                <c:pt idx="1">
                  <c:v>16245</c:v>
                </c:pt>
                <c:pt idx="2">
                  <c:v>16245</c:v>
                </c:pt>
                <c:pt idx="3">
                  <c:v>16356</c:v>
                </c:pt>
                <c:pt idx="4">
                  <c:v>16397</c:v>
                </c:pt>
                <c:pt idx="5">
                  <c:v>16428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2DE-4909-90FE-CCC9A7FD806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'Ejercicio 3'!$C$3</c15:sqref>
                        </c15:formulaRef>
                      </c:ext>
                    </c:extLst>
                    <c:strCache>
                      <c:ptCount val="1"/>
                      <c:pt idx="0">
                        <c:v>RENAULT MEGANE </c:v>
                      </c:pt>
                    </c:strCache>
                  </c:strRef>
                </c:tx>
                <c:explosion val="24"/>
                <c:dPt>
                  <c:idx val="0"/>
                  <c:bubble3D val="0"/>
                  <c:explosion val="23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1-62DE-4909-90FE-CCC9A7FD80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3-62DE-4909-90FE-CCC9A7FD80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5-62DE-4909-90FE-CCC9A7FD80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7-62DE-4909-90FE-CCC9A7FD806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9-62DE-4909-90FE-CCC9A7FD806E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B-62DE-4909-90FE-CCC9A7FD806E}"/>
                    </c:ext>
                  </c:extLst>
                </c:dPt>
                <c:dLbls>
                  <c:dLbl>
                    <c:idx val="0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1-62DE-4909-90FE-CCC9A7FD806E}"/>
                      </c:ext>
                    </c:extLst>
                  </c:dLbl>
                  <c:dLbl>
                    <c:idx val="1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3-62DE-4909-90FE-CCC9A7FD806E}"/>
                      </c:ext>
                    </c:extLst>
                  </c:dLbl>
                  <c:dLbl>
                    <c:idx val="2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5-62DE-4909-90FE-CCC9A7FD806E}"/>
                      </c:ext>
                    </c:extLst>
                  </c:dLbl>
                  <c:dLbl>
                    <c:idx val="3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7-62DE-4909-90FE-CCC9A7FD806E}"/>
                      </c:ext>
                    </c:extLst>
                  </c:dLbl>
                  <c:dLbl>
                    <c:idx val="4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9-62DE-4909-90FE-CCC9A7FD806E}"/>
                      </c:ext>
                    </c:extLst>
                  </c:dLbl>
                  <c:dLbl>
                    <c:idx val="5"/>
                    <c:spPr>
                      <a:solidFill>
                        <a:schemeClr val="lt1">
                          <a:alpha val="75000"/>
                        </a:schemeClr>
                      </a:solidFill>
                      <a:ln w="9525">
                        <a:solidFill>
                          <a:schemeClr val="dk1">
                            <a:lumMod val="25000"/>
                            <a:lumOff val="75000"/>
                          </a:scheme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ES"/>
                      </a:p>
                    </c:txPr>
                    <c:dLblPos val="in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B-62DE-4909-90FE-CCC9A7FD806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'Ejercicio 3'!$B$4:$B$9</c15:sqref>
                        </c15:formulaRef>
                      </c:ext>
                    </c:extLst>
                    <c:strCache>
                      <c:ptCount val="6"/>
                      <c:pt idx="0">
                        <c:v>Enero 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'Ejercicio 3'!$C$4:$C$9</c15:sqref>
                        </c15:formulaRef>
                      </c:ext>
                    </c:extLst>
                    <c:numCache>
                      <c:formatCode>#,##0.00\ "€"</c:formatCode>
                      <c:ptCount val="6"/>
                      <c:pt idx="0">
                        <c:v>20714</c:v>
                      </c:pt>
                      <c:pt idx="1">
                        <c:v>20926</c:v>
                      </c:pt>
                      <c:pt idx="2">
                        <c:v>20961</c:v>
                      </c:pt>
                      <c:pt idx="3">
                        <c:v>21096</c:v>
                      </c:pt>
                      <c:pt idx="4">
                        <c:v>21132</c:v>
                      </c:pt>
                      <c:pt idx="5">
                        <c:v>21491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62DE-4909-90FE-CCC9A7FD806E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'Ejercicio 3'!$D$3</c15:sqref>
                        </c15:formulaRef>
                      </c:ext>
                    </c:extLst>
                    <c:strCache>
                      <c:ptCount val="1"/>
                      <c:pt idx="0">
                        <c:v>SEAT IBIZA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1D08-46C0-9BD5-8503DFCD249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1D08-46C0-9BD5-8503DFCD249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1D08-46C0-9BD5-8503DFCD2498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1D08-46C0-9BD5-8503DFCD2498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1D08-46C0-9BD5-8503DFCD2498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1D08-46C0-9BD5-8503DFCD249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'Ejercicio 3'!$B$4:$B$9</c15:sqref>
                        </c15:formulaRef>
                      </c:ext>
                    </c:extLst>
                    <c:strCache>
                      <c:ptCount val="6"/>
                      <c:pt idx="0">
                        <c:v>Enero 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'Ejercicio 3'!$D$4:$D$9</c15:sqref>
                        </c15:formulaRef>
                      </c:ext>
                    </c:extLst>
                    <c:numCache>
                      <c:formatCode>#,##0.00\ "€"</c:formatCode>
                      <c:ptCount val="6"/>
                      <c:pt idx="0">
                        <c:v>13273</c:v>
                      </c:pt>
                      <c:pt idx="1">
                        <c:v>13340</c:v>
                      </c:pt>
                      <c:pt idx="2">
                        <c:v>13415</c:v>
                      </c:pt>
                      <c:pt idx="3">
                        <c:v>13701</c:v>
                      </c:pt>
                      <c:pt idx="4">
                        <c:v>13768</c:v>
                      </c:pt>
                      <c:pt idx="5">
                        <c:v>13864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2DE-4909-90FE-CCC9A7FD806E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92538530283966"/>
          <c:y val="3.7037037037037035E-2"/>
          <c:w val="0.78755558465486108"/>
          <c:h val="0.8601932050160396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'Ejercicio 4'!$A$2:$C$3</c15:sqref>
                  </c15:fullRef>
                  <c15:levelRef>
                    <c15:sqref>'Ejercicio 4'!$A$3:$C$3</c15:sqref>
                  </c15:levelRef>
                </c:ext>
              </c:extLst>
              <c:f>'Ejercicio 4'!$A$3:$C$3</c:f>
              <c:strCache>
                <c:ptCount val="3"/>
                <c:pt idx="0">
                  <c:v>Lado (cm)</c:v>
                </c:pt>
                <c:pt idx="1">
                  <c:v>Area (cm)</c:v>
                </c:pt>
                <c:pt idx="2">
                  <c:v>Volumen (cm2)</c:v>
                </c:pt>
              </c:strCache>
            </c:strRef>
          </c:cat>
          <c:val>
            <c:numRef>
              <c:f>'Ejercicio 4'!$A$4:$C$4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D-4993-A8F5-C63B2D77B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3868143"/>
        <c:axId val="723858575"/>
      </c:barChart>
      <c:catAx>
        <c:axId val="72386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3858575"/>
        <c:crosses val="autoZero"/>
        <c:auto val="1"/>
        <c:lblAlgn val="ctr"/>
        <c:lblOffset val="100"/>
        <c:noMultiLvlLbl val="0"/>
      </c:catAx>
      <c:valAx>
        <c:axId val="72385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3868143"/>
        <c:crosses val="autoZero"/>
        <c:crossBetween val="between"/>
      </c:valAx>
      <c:spPr>
        <a:solidFill>
          <a:srgbClr val="CD858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2143125</xdr:colOff>
      <xdr:row>5</xdr:row>
      <xdr:rowOff>57150</xdr:rowOff>
    </xdr:from>
    <xdr:to>
      <xdr:col>2</xdr:col>
      <xdr:colOff>9525</xdr:colOff>
      <xdr:row>5</xdr:row>
      <xdr:rowOff>161925</xdr:rowOff>
    </xdr:to>
    <xdr:sp macro="" textlink="">
      <xdr:nvSpPr>
        <xdr:cNvPr id="2" name="Flecha derecha 1"/>
        <xdr:cNvSpPr/>
      </xdr:nvSpPr>
      <xdr:spPr>
        <a:xfrm>
          <a:off x="2905125" y="1009650"/>
          <a:ext cx="323850" cy="10477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2143126</xdr:colOff>
      <xdr:row>6</xdr:row>
      <xdr:rowOff>38100</xdr:rowOff>
    </xdr:from>
    <xdr:to>
      <xdr:col>2</xdr:col>
      <xdr:colOff>9526</xdr:colOff>
      <xdr:row>6</xdr:row>
      <xdr:rowOff>142875</xdr:rowOff>
    </xdr:to>
    <xdr:sp macro="" textlink="">
      <xdr:nvSpPr>
        <xdr:cNvPr id="3" name="Flecha derecha 2"/>
        <xdr:cNvSpPr/>
      </xdr:nvSpPr>
      <xdr:spPr>
        <a:xfrm>
          <a:off x="2905126" y="1181100"/>
          <a:ext cx="323850" cy="10477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2162175</xdr:colOff>
      <xdr:row>7</xdr:row>
      <xdr:rowOff>28575</xdr:rowOff>
    </xdr:from>
    <xdr:to>
      <xdr:col>2</xdr:col>
      <xdr:colOff>19050</xdr:colOff>
      <xdr:row>7</xdr:row>
      <xdr:rowOff>123825</xdr:rowOff>
    </xdr:to>
    <xdr:sp macro="" textlink="">
      <xdr:nvSpPr>
        <xdr:cNvPr id="4" name="Flecha derecha 3"/>
        <xdr:cNvSpPr/>
      </xdr:nvSpPr>
      <xdr:spPr>
        <a:xfrm>
          <a:off x="2924175" y="1362075"/>
          <a:ext cx="314325" cy="952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2162175</xdr:colOff>
      <xdr:row>8</xdr:row>
      <xdr:rowOff>47626</xdr:rowOff>
    </xdr:from>
    <xdr:to>
      <xdr:col>2</xdr:col>
      <xdr:colOff>0</xdr:colOff>
      <xdr:row>8</xdr:row>
      <xdr:rowOff>142876</xdr:rowOff>
    </xdr:to>
    <xdr:sp macro="" textlink="">
      <xdr:nvSpPr>
        <xdr:cNvPr id="5" name="Flecha derecha 4"/>
        <xdr:cNvSpPr/>
      </xdr:nvSpPr>
      <xdr:spPr>
        <a:xfrm>
          <a:off x="2924175" y="1571626"/>
          <a:ext cx="295275" cy="952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2128837</xdr:colOff>
      <xdr:row>0</xdr:row>
      <xdr:rowOff>0</xdr:rowOff>
    </xdr:from>
    <xdr:to>
      <xdr:col>3</xdr:col>
      <xdr:colOff>9525</xdr:colOff>
      <xdr:row>4</xdr:row>
      <xdr:rowOff>19050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837" y="0"/>
          <a:ext cx="1157288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47624</xdr:rowOff>
    </xdr:from>
    <xdr:to>
      <xdr:col>6</xdr:col>
      <xdr:colOff>514350</xdr:colOff>
      <xdr:row>19</xdr:row>
      <xdr:rowOff>123825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495300</xdr:colOff>
      <xdr:row>3</xdr:row>
      <xdr:rowOff>47625</xdr:rowOff>
    </xdr:from>
    <xdr:to>
      <xdr:col>10</xdr:col>
      <xdr:colOff>257175</xdr:colOff>
      <xdr:row>14</xdr:row>
      <xdr:rowOff>85725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9526</xdr:colOff>
      <xdr:row>7</xdr:row>
      <xdr:rowOff>0</xdr:rowOff>
    </xdr:from>
    <xdr:to>
      <xdr:col>9</xdr:col>
      <xdr:colOff>142875</xdr:colOff>
      <xdr:row>21</xdr:row>
      <xdr:rowOff>66675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9525</xdr:rowOff>
    </xdr:from>
    <xdr:to>
      <xdr:col>4</xdr:col>
      <xdr:colOff>549088</xdr:colOff>
      <xdr:row>23</xdr:row>
      <xdr:rowOff>56030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560294</xdr:colOff>
      <xdr:row>11</xdr:row>
      <xdr:rowOff>9525</xdr:rowOff>
    </xdr:from>
    <xdr:to>
      <xdr:col>9</xdr:col>
      <xdr:colOff>358589</xdr:colOff>
      <xdr:row>23</xdr:row>
      <xdr:rowOff>77880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386603</xdr:colOff>
      <xdr:row>11</xdr:row>
      <xdr:rowOff>0</xdr:rowOff>
    </xdr:from>
    <xdr:to>
      <xdr:col>14</xdr:col>
      <xdr:colOff>81803</xdr:colOff>
      <xdr:row>23</xdr:row>
      <xdr:rowOff>68355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4</xdr:row>
      <xdr:rowOff>28575</xdr:rowOff>
    </xdr:from>
    <xdr:to>
      <xdr:col>6</xdr:col>
      <xdr:colOff>38100</xdr:colOff>
      <xdr:row>18</xdr:row>
      <xdr:rowOff>104775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mr1" refreshedDate="44601.461869675928" createdVersion="6" refreshedVersion="6" minRefreshableVersion="3" recordCount="1">
  <cacheSource type="worksheet">
    <worksheetSource ref="A2:G3" sheet="Ejercicio 1"/>
  </cacheSource>
  <cacheFields count="7">
    <cacheField name="X" numFmtId="0">
      <sharedItems containsSemiMixedTypes="0" containsString="0" containsNumber="1" minValue="0.3" maxValue="0.3"/>
    </cacheField>
    <cacheField name="Seno (x)" numFmtId="0">
      <sharedItems containsSemiMixedTypes="0" containsString="0" containsNumber="1" minValue="0.29552020666133955" maxValue="0.29552020666133955"/>
    </cacheField>
    <cacheField name="Coseno (x)" numFmtId="0">
      <sharedItems containsSemiMixedTypes="0" containsString="0" containsNumber="1" minValue="0.95533648912560598" maxValue="0.95533648912560598"/>
    </cacheField>
    <cacheField name="Tangente (x)" numFmtId="0">
      <sharedItems containsSemiMixedTypes="0" containsString="0" containsNumber="1" minValue="0.30933624960962325" maxValue="0.30933624960962325"/>
    </cacheField>
    <cacheField name="Arcoseno (x)" numFmtId="0">
      <sharedItems containsSemiMixedTypes="0" containsString="0" containsNumber="1" minValue="1.0453385141288605" maxValue="1.0453385141288605"/>
    </cacheField>
    <cacheField name="Arcocoseno(x)" numFmtId="0">
      <sharedItems containsSemiMixedTypes="0" containsString="0" containsNumber="1" minValue="1.266103672779499" maxValue="1.266103672779499"/>
    </cacheField>
    <cacheField name="Arcotangente (x)" numFmtId="0">
      <sharedItems containsSemiMixedTypes="0" containsString="0" containsNumber="1" minValue="0.2914567944778671" maxValue="0.2914567944778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n v="0.3"/>
    <n v="0.29552020666133955"/>
    <n v="0.95533648912560598"/>
    <n v="0.30933624960962325"/>
    <n v="1.0453385141288605"/>
    <n v="1.266103672779499"/>
    <n v="0.2914567944778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H8:N9" firstHeaderRow="0" firstDataRow="1" firstDataCol="0"/>
  <pivotFields count="7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X" fld="0" baseField="0" baseItem="0"/>
    <dataField name="Suma de Seno (x)" fld="1" baseField="0" baseItem="0"/>
    <dataField name="Suma de Coseno (x)" fld="2" baseField="0" baseItem="0"/>
    <dataField name="Suma de Tangente (x)" fld="3" baseField="0" baseItem="0"/>
    <dataField name="Suma de Arcoseno (x)" fld="4" baseField="0" baseItem="0"/>
    <dataField name="Suma de Arcotangente (x)" fld="6" baseField="0" baseItem="0"/>
    <dataField name="Suma de Arcocoseno(x)" fld="5" baseField="0" baseItem="0"/>
  </dataFields>
  <formats count="2">
    <format dxfId="7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0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6" sqref="C6"/>
    </sheetView>
  </sheetViews>
  <sheetFormatPr baseColWidth="10" defaultRowHeight="15" x14ac:dyDescent="0.25"/>
  <cols>
    <col min="2" max="2" width="36.85546875" customWidth="1"/>
    <col min="3" max="3" width="12.28515625" bestFit="1" customWidth="1"/>
  </cols>
  <sheetData>
    <row r="1" spans="1:3" x14ac:dyDescent="0.25">
      <c r="A1" s="46" t="s">
        <v>9</v>
      </c>
      <c r="B1" s="46"/>
      <c r="C1" s="46"/>
    </row>
    <row r="2" spans="1:3" x14ac:dyDescent="0.25">
      <c r="A2" s="46"/>
      <c r="B2" s="46"/>
      <c r="C2" s="46"/>
    </row>
    <row r="3" spans="1:3" x14ac:dyDescent="0.25">
      <c r="A3" s="46"/>
      <c r="B3" s="46"/>
      <c r="C3" s="46"/>
    </row>
    <row r="4" spans="1:3" x14ac:dyDescent="0.25">
      <c r="A4" s="46"/>
      <c r="B4" s="46"/>
      <c r="C4" s="46"/>
    </row>
    <row r="6" spans="1:3" x14ac:dyDescent="0.25">
      <c r="A6" t="s">
        <v>0</v>
      </c>
      <c r="B6" t="s">
        <v>4</v>
      </c>
      <c r="C6" s="1" t="s">
        <v>8</v>
      </c>
    </row>
    <row r="7" spans="1:3" x14ac:dyDescent="0.25">
      <c r="A7" t="s">
        <v>1</v>
      </c>
      <c r="B7" t="s">
        <v>5</v>
      </c>
      <c r="C7" s="1" t="s">
        <v>8</v>
      </c>
    </row>
    <row r="8" spans="1:3" x14ac:dyDescent="0.25">
      <c r="A8" t="s">
        <v>2</v>
      </c>
      <c r="B8" t="s">
        <v>6</v>
      </c>
      <c r="C8" s="1" t="s">
        <v>8</v>
      </c>
    </row>
    <row r="9" spans="1:3" x14ac:dyDescent="0.25">
      <c r="A9" t="s">
        <v>3</v>
      </c>
      <c r="B9" t="s">
        <v>7</v>
      </c>
      <c r="C9" s="1" t="s">
        <v>8</v>
      </c>
    </row>
  </sheetData>
  <mergeCells count="1">
    <mergeCell ref="A1:C4"/>
  </mergeCells>
  <hyperlinks>
    <hyperlink ref="C6" location="'Ejercicio 1'!A1" display="ir al ejercicio"/>
    <hyperlink ref="C7" location="'Ejercicio 2'!A1" display="ir al ejercicio"/>
    <hyperlink ref="C8" location="'Ejercicio 3'!A1" display="ir al ejercicio"/>
    <hyperlink ref="C9" location="'Ejercicio 4'!A1" display="ir al ejercicio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H20" sqref="H20"/>
    </sheetView>
  </sheetViews>
  <sheetFormatPr baseColWidth="10" defaultRowHeight="15" x14ac:dyDescent="0.25"/>
  <cols>
    <col min="4" max="5" width="12.140625" bestFit="1" customWidth="1"/>
    <col min="6" max="6" width="13.7109375" bestFit="1" customWidth="1"/>
    <col min="7" max="7" width="15.85546875" bestFit="1" customWidth="1"/>
    <col min="8" max="8" width="10.140625" customWidth="1"/>
    <col min="9" max="9" width="16.42578125" bestFit="1" customWidth="1"/>
    <col min="10" max="10" width="18.5703125" bestFit="1" customWidth="1"/>
    <col min="11" max="12" width="20.28515625" bestFit="1" customWidth="1"/>
    <col min="13" max="13" width="24.140625" bestFit="1" customWidth="1"/>
    <col min="14" max="14" width="22" customWidth="1"/>
  </cols>
  <sheetData>
    <row r="1" spans="1:14" ht="15.75" thickBot="1" x14ac:dyDescent="0.3">
      <c r="A1" s="47" t="s">
        <v>10</v>
      </c>
      <c r="B1" s="48"/>
      <c r="C1" s="48"/>
      <c r="D1" s="48"/>
      <c r="E1" s="48"/>
      <c r="F1" s="48"/>
      <c r="G1" s="49"/>
    </row>
    <row r="2" spans="1:14" ht="15.75" thickBot="1" x14ac:dyDescent="0.3">
      <c r="A2" s="2" t="s">
        <v>11</v>
      </c>
      <c r="B2" s="2" t="s">
        <v>13</v>
      </c>
      <c r="C2" s="2" t="s">
        <v>12</v>
      </c>
      <c r="D2" s="2" t="s">
        <v>14</v>
      </c>
      <c r="E2" s="2" t="s">
        <v>15</v>
      </c>
      <c r="F2" s="2" t="s">
        <v>16</v>
      </c>
      <c r="G2" s="2" t="s">
        <v>17</v>
      </c>
    </row>
    <row r="3" spans="1:14" ht="15.75" thickBot="1" x14ac:dyDescent="0.3">
      <c r="A3" s="31">
        <v>0.3</v>
      </c>
      <c r="B3" s="37">
        <f>SIN(A3)</f>
        <v>0.29552020666133955</v>
      </c>
      <c r="C3" s="37">
        <f>COS(A3)</f>
        <v>0.95533648912560598</v>
      </c>
      <c r="D3" s="37">
        <f>TAN(A3)</f>
        <v>0.30933624960962325</v>
      </c>
      <c r="E3" s="37">
        <f>ASIN(A3)</f>
        <v>0.30469265401539752</v>
      </c>
      <c r="F3" s="37">
        <f>ACOS(A3)</f>
        <v>1.266103672779499</v>
      </c>
      <c r="G3" s="37">
        <f>ATAN(A3)</f>
        <v>0.2914567944778671</v>
      </c>
    </row>
    <row r="8" spans="1:14" x14ac:dyDescent="0.25">
      <c r="H8" s="3" t="s">
        <v>18</v>
      </c>
      <c r="I8" s="3" t="s">
        <v>19</v>
      </c>
      <c r="J8" s="3" t="s">
        <v>20</v>
      </c>
      <c r="K8" s="3" t="s">
        <v>21</v>
      </c>
      <c r="L8" s="3" t="s">
        <v>22</v>
      </c>
      <c r="M8" s="3" t="s">
        <v>24</v>
      </c>
      <c r="N8" s="3" t="s">
        <v>23</v>
      </c>
    </row>
    <row r="9" spans="1:14" x14ac:dyDescent="0.25">
      <c r="H9" s="4">
        <v>0.3</v>
      </c>
      <c r="I9" s="4">
        <v>0.29552020666133955</v>
      </c>
      <c r="J9" s="4">
        <v>0.95533648912560598</v>
      </c>
      <c r="K9" s="4">
        <v>0.30933624960962325</v>
      </c>
      <c r="L9" s="4">
        <v>1.0453385141288605</v>
      </c>
      <c r="M9" s="4">
        <v>0.2914567944778671</v>
      </c>
      <c r="N9" s="4">
        <v>1.266103672779499</v>
      </c>
    </row>
  </sheetData>
  <sheetProtection sheet="1" objects="1" scenarios="1"/>
  <mergeCells count="1">
    <mergeCell ref="A1:G1"/>
  </mergeCells>
  <pageMargins left="0.7" right="0.7" top="0.75" bottom="0.75" header="0.3" footer="0.3"/>
  <pageSetup paperSize="9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D4" sqref="D4"/>
    </sheetView>
  </sheetViews>
  <sheetFormatPr baseColWidth="10" defaultRowHeight="15" x14ac:dyDescent="0.25"/>
  <cols>
    <col min="1" max="1" width="17.5703125" bestFit="1" customWidth="1"/>
  </cols>
  <sheetData>
    <row r="1" spans="1:11" ht="15.75" thickBot="1" x14ac:dyDescent="0.3">
      <c r="C1" s="50" t="s">
        <v>25</v>
      </c>
      <c r="D1" s="51"/>
      <c r="E1" s="50" t="s">
        <v>26</v>
      </c>
      <c r="F1" s="51"/>
      <c r="G1" s="50" t="s">
        <v>27</v>
      </c>
      <c r="H1" s="51"/>
      <c r="I1" s="50" t="s">
        <v>28</v>
      </c>
      <c r="J1" s="51"/>
      <c r="K1" s="5"/>
    </row>
    <row r="2" spans="1:11" ht="15.75" thickTop="1" x14ac:dyDescent="0.25">
      <c r="A2" s="6" t="s">
        <v>29</v>
      </c>
      <c r="B2" s="7">
        <v>12.99</v>
      </c>
      <c r="C2" s="32">
        <v>12</v>
      </c>
      <c r="D2" s="8">
        <f>PRODUCT(B2:C2)</f>
        <v>155.88</v>
      </c>
      <c r="E2" s="32">
        <v>13</v>
      </c>
      <c r="F2" s="8">
        <f>PRODUCT(B2*E2)</f>
        <v>168.87</v>
      </c>
      <c r="G2" s="32">
        <v>14</v>
      </c>
      <c r="H2" s="8">
        <f>PRODUCT(B2*G2)</f>
        <v>181.86</v>
      </c>
      <c r="I2" s="32">
        <v>15</v>
      </c>
      <c r="J2" s="8">
        <f>PRODUCT(B2*I2)</f>
        <v>194.85</v>
      </c>
      <c r="K2" s="30"/>
    </row>
    <row r="3" spans="1:11" x14ac:dyDescent="0.25">
      <c r="A3" s="6" t="s">
        <v>30</v>
      </c>
      <c r="B3" s="7">
        <v>9.99</v>
      </c>
      <c r="C3" s="33">
        <v>4</v>
      </c>
      <c r="D3" s="9">
        <f t="shared" ref="D3:D7" si="0">PRODUCT(B3:C3)</f>
        <v>39.96</v>
      </c>
      <c r="E3" s="33">
        <v>2</v>
      </c>
      <c r="F3" s="9">
        <f t="shared" ref="F3:F7" si="1">PRODUCT(B3*E3)</f>
        <v>19.98</v>
      </c>
      <c r="G3" s="33">
        <v>0</v>
      </c>
      <c r="H3" s="9">
        <f t="shared" ref="H3:H7" si="2">PRODUCT(B3*G3)</f>
        <v>0</v>
      </c>
      <c r="I3" s="33">
        <v>1</v>
      </c>
      <c r="J3" s="9">
        <f t="shared" ref="J3:J7" si="3">PRODUCT(B3*I3)</f>
        <v>9.99</v>
      </c>
      <c r="K3" s="30"/>
    </row>
    <row r="4" spans="1:11" x14ac:dyDescent="0.25">
      <c r="A4" s="6" t="s">
        <v>31</v>
      </c>
      <c r="B4" s="7">
        <v>14.99</v>
      </c>
      <c r="C4" s="33">
        <v>7</v>
      </c>
      <c r="D4" s="9">
        <f t="shared" si="0"/>
        <v>104.93</v>
      </c>
      <c r="E4" s="33">
        <v>9</v>
      </c>
      <c r="F4" s="9">
        <f t="shared" si="1"/>
        <v>134.91</v>
      </c>
      <c r="G4" s="33">
        <v>6</v>
      </c>
      <c r="H4" s="9">
        <f t="shared" si="2"/>
        <v>89.94</v>
      </c>
      <c r="I4" s="33">
        <v>9</v>
      </c>
      <c r="J4" s="9">
        <f t="shared" si="3"/>
        <v>134.91</v>
      </c>
      <c r="K4" s="30"/>
    </row>
    <row r="5" spans="1:11" x14ac:dyDescent="0.25">
      <c r="A5" s="6" t="s">
        <v>32</v>
      </c>
      <c r="B5" s="7">
        <v>5.99</v>
      </c>
      <c r="C5" s="33">
        <v>2</v>
      </c>
      <c r="D5" s="9">
        <f t="shared" si="0"/>
        <v>11.98</v>
      </c>
      <c r="E5" s="33">
        <v>1</v>
      </c>
      <c r="F5" s="9">
        <f t="shared" si="1"/>
        <v>5.99</v>
      </c>
      <c r="G5" s="33">
        <v>0</v>
      </c>
      <c r="H5" s="9">
        <f t="shared" si="2"/>
        <v>0</v>
      </c>
      <c r="I5" s="33">
        <v>9</v>
      </c>
      <c r="J5" s="9">
        <f t="shared" si="3"/>
        <v>53.910000000000004</v>
      </c>
      <c r="K5" s="30"/>
    </row>
    <row r="6" spans="1:11" x14ac:dyDescent="0.25">
      <c r="A6" s="6" t="s">
        <v>33</v>
      </c>
      <c r="B6" s="7">
        <v>11.99</v>
      </c>
      <c r="C6" s="33">
        <v>17</v>
      </c>
      <c r="D6" s="9">
        <f t="shared" si="0"/>
        <v>203.83</v>
      </c>
      <c r="E6" s="33">
        <v>15</v>
      </c>
      <c r="F6" s="9">
        <f t="shared" si="1"/>
        <v>179.85</v>
      </c>
      <c r="G6" s="33">
        <v>17</v>
      </c>
      <c r="H6" s="9">
        <f t="shared" si="2"/>
        <v>203.83</v>
      </c>
      <c r="I6" s="33">
        <v>11</v>
      </c>
      <c r="J6" s="9">
        <f t="shared" si="3"/>
        <v>131.89000000000001</v>
      </c>
      <c r="K6" s="30"/>
    </row>
    <row r="7" spans="1:11" ht="15.75" thickBot="1" x14ac:dyDescent="0.3">
      <c r="A7" s="6" t="s">
        <v>34</v>
      </c>
      <c r="B7" s="7">
        <v>13.99</v>
      </c>
      <c r="C7" s="34">
        <v>15</v>
      </c>
      <c r="D7" s="10">
        <f t="shared" si="0"/>
        <v>209.85</v>
      </c>
      <c r="E7" s="34">
        <v>23</v>
      </c>
      <c r="F7" s="10">
        <f t="shared" si="1"/>
        <v>321.77</v>
      </c>
      <c r="G7" s="34">
        <v>9</v>
      </c>
      <c r="H7" s="10">
        <f t="shared" si="2"/>
        <v>125.91</v>
      </c>
      <c r="I7" s="34">
        <v>12</v>
      </c>
      <c r="J7" s="10">
        <f t="shared" si="3"/>
        <v>167.88</v>
      </c>
      <c r="K7" s="30"/>
    </row>
    <row r="8" spans="1:11" x14ac:dyDescent="0.25">
      <c r="C8" s="11"/>
      <c r="D8" s="28"/>
      <c r="E8" s="35"/>
      <c r="F8" s="28"/>
      <c r="G8" s="29"/>
      <c r="H8" s="28"/>
      <c r="I8" s="29"/>
      <c r="J8" s="28"/>
      <c r="K8" s="30"/>
    </row>
  </sheetData>
  <sheetProtection sheet="1" objects="1" scenarios="1"/>
  <mergeCells count="4">
    <mergeCell ref="C1:D1"/>
    <mergeCell ref="E1:F1"/>
    <mergeCell ref="G1:H1"/>
    <mergeCell ref="I1:J1"/>
  </mergeCells>
  <conditionalFormatting sqref="C2:C7">
    <cfRule type="cellIs" dxfId="5" priority="6" operator="lessThan">
      <formula>5</formula>
    </cfRule>
  </conditionalFormatting>
  <conditionalFormatting sqref="E2:E7">
    <cfRule type="cellIs" dxfId="4" priority="5" operator="lessThan">
      <formula>5</formula>
    </cfRule>
  </conditionalFormatting>
  <conditionalFormatting sqref="G2:G7">
    <cfRule type="cellIs" dxfId="3" priority="4" operator="lessThan">
      <formula>5</formula>
    </cfRule>
  </conditionalFormatting>
  <conditionalFormatting sqref="I2:I7">
    <cfRule type="cellIs" dxfId="2" priority="3" operator="lessThan">
      <formula>5</formula>
    </cfRule>
  </conditionalFormatting>
  <conditionalFormatting sqref="D8:J8">
    <cfRule type="cellIs" dxfId="1" priority="1" operator="equal">
      <formula>700</formula>
    </cfRule>
    <cfRule type="cellIs" dxfId="0" priority="2" operator="greaterThan">
      <formula>700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zoomScale="85" zoomScaleNormal="85" workbookViewId="0">
      <selection activeCell="C10" sqref="C10"/>
    </sheetView>
  </sheetViews>
  <sheetFormatPr baseColWidth="10" defaultRowHeight="15" x14ac:dyDescent="0.25"/>
  <cols>
    <col min="2" max="2" width="8" bestFit="1" customWidth="1"/>
    <col min="3" max="3" width="18.140625" bestFit="1" customWidth="1"/>
    <col min="4" max="4" width="10.5703125" bestFit="1" customWidth="1"/>
    <col min="5" max="5" width="11.28515625" bestFit="1" customWidth="1"/>
  </cols>
  <sheetData>
    <row r="1" spans="2:6" ht="18.75" x14ac:dyDescent="0.3">
      <c r="B1" s="52" t="s">
        <v>35</v>
      </c>
      <c r="C1" s="52"/>
      <c r="D1" s="52"/>
      <c r="E1" s="52"/>
    </row>
    <row r="2" spans="2:6" ht="15.75" thickBot="1" x14ac:dyDescent="0.3"/>
    <row r="3" spans="2:6" ht="16.5" thickTop="1" thickBot="1" x14ac:dyDescent="0.3">
      <c r="B3" s="12"/>
      <c r="C3" s="13" t="s">
        <v>36</v>
      </c>
      <c r="D3" s="14" t="s">
        <v>37</v>
      </c>
      <c r="E3" s="13" t="s">
        <v>38</v>
      </c>
      <c r="F3" s="15" t="s">
        <v>39</v>
      </c>
    </row>
    <row r="4" spans="2:6" ht="16.5" thickTop="1" thickBot="1" x14ac:dyDescent="0.3">
      <c r="B4" s="13" t="s">
        <v>40</v>
      </c>
      <c r="C4" s="38">
        <v>20714</v>
      </c>
      <c r="D4" s="39">
        <v>13273</v>
      </c>
      <c r="E4" s="39">
        <v>16031</v>
      </c>
      <c r="F4" s="16">
        <f>AVERAGE(C4:E4)</f>
        <v>16672.666666666668</v>
      </c>
    </row>
    <row r="5" spans="2:6" ht="16.5" thickTop="1" thickBot="1" x14ac:dyDescent="0.3">
      <c r="B5" s="13" t="s">
        <v>26</v>
      </c>
      <c r="C5" s="40">
        <v>20926</v>
      </c>
      <c r="D5" s="41">
        <v>13340</v>
      </c>
      <c r="E5" s="41">
        <v>16245</v>
      </c>
      <c r="F5" s="17">
        <f t="shared" ref="F5:F9" si="0">AVERAGE(C5:E5)</f>
        <v>16837</v>
      </c>
    </row>
    <row r="6" spans="2:6" ht="16.5" thickTop="1" thickBot="1" x14ac:dyDescent="0.3">
      <c r="B6" s="13" t="s">
        <v>27</v>
      </c>
      <c r="C6" s="40">
        <v>20961</v>
      </c>
      <c r="D6" s="41">
        <v>13415</v>
      </c>
      <c r="E6" s="41">
        <v>16245</v>
      </c>
      <c r="F6" s="17">
        <f t="shared" si="0"/>
        <v>16873.666666666668</v>
      </c>
    </row>
    <row r="7" spans="2:6" ht="16.5" thickTop="1" thickBot="1" x14ac:dyDescent="0.3">
      <c r="B7" s="13" t="s">
        <v>28</v>
      </c>
      <c r="C7" s="40">
        <v>21096</v>
      </c>
      <c r="D7" s="41">
        <v>13701</v>
      </c>
      <c r="E7" s="41">
        <v>16356</v>
      </c>
      <c r="F7" s="17">
        <f t="shared" si="0"/>
        <v>17051</v>
      </c>
    </row>
    <row r="8" spans="2:6" ht="16.5" thickTop="1" thickBot="1" x14ac:dyDescent="0.3">
      <c r="B8" s="13" t="s">
        <v>41</v>
      </c>
      <c r="C8" s="40">
        <v>21132</v>
      </c>
      <c r="D8" s="41">
        <v>13768</v>
      </c>
      <c r="E8" s="41">
        <v>16397</v>
      </c>
      <c r="F8" s="17">
        <f t="shared" si="0"/>
        <v>17099</v>
      </c>
    </row>
    <row r="9" spans="2:6" ht="16.5" thickTop="1" thickBot="1" x14ac:dyDescent="0.3">
      <c r="B9" s="13" t="s">
        <v>42</v>
      </c>
      <c r="C9" s="42">
        <v>21491</v>
      </c>
      <c r="D9" s="43">
        <v>13864</v>
      </c>
      <c r="E9" s="43">
        <v>16428</v>
      </c>
      <c r="F9" s="18">
        <f t="shared" si="0"/>
        <v>17261</v>
      </c>
    </row>
    <row r="10" spans="2:6" ht="16.5" thickTop="1" thickBot="1" x14ac:dyDescent="0.3">
      <c r="B10" s="19" t="s">
        <v>39</v>
      </c>
      <c r="C10" s="20">
        <f>AVERAGE(C4:C9)</f>
        <v>21053.333333333332</v>
      </c>
      <c r="D10" s="21">
        <f t="shared" ref="D10:E10" si="1">AVERAGE(D4:D9)</f>
        <v>13560.166666666666</v>
      </c>
      <c r="E10" s="22">
        <f t="shared" si="1"/>
        <v>16283.666666666666</v>
      </c>
      <c r="F10" s="23"/>
    </row>
    <row r="11" spans="2:6" ht="15.75" thickTop="1" x14ac:dyDescent="0.25"/>
  </sheetData>
  <sheetProtection sheet="1" objects="1" scenarios="1"/>
  <mergeCells count="1">
    <mergeCell ref="B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5" sqref="A5"/>
    </sheetView>
  </sheetViews>
  <sheetFormatPr baseColWidth="10" defaultRowHeight="15" x14ac:dyDescent="0.25"/>
  <cols>
    <col min="3" max="3" width="14.5703125" bestFit="1" customWidth="1"/>
  </cols>
  <sheetData>
    <row r="1" spans="1:3" x14ac:dyDescent="0.25">
      <c r="A1" s="24" t="s">
        <v>43</v>
      </c>
      <c r="B1" s="53">
        <f ca="1">TODAY()</f>
        <v>44602</v>
      </c>
      <c r="C1" s="53"/>
    </row>
    <row r="2" spans="1:3" x14ac:dyDescent="0.25">
      <c r="A2" s="54" t="s">
        <v>47</v>
      </c>
      <c r="B2" s="54"/>
      <c r="C2" s="54"/>
    </row>
    <row r="3" spans="1:3" x14ac:dyDescent="0.25">
      <c r="A3" s="25" t="s">
        <v>44</v>
      </c>
      <c r="B3" s="26" t="s">
        <v>45</v>
      </c>
      <c r="C3" s="27" t="s">
        <v>46</v>
      </c>
    </row>
    <row r="4" spans="1:3" ht="15.75" thickBot="1" x14ac:dyDescent="0.3">
      <c r="A4" s="36">
        <v>2</v>
      </c>
      <c r="B4" s="44">
        <f>A4*A4</f>
        <v>4</v>
      </c>
      <c r="C4" s="45">
        <f>A4*A4*A4</f>
        <v>8</v>
      </c>
    </row>
  </sheetData>
  <sheetProtection sheet="1" objects="1" scenarios="1"/>
  <mergeCells count="2">
    <mergeCell ref="B1:C1"/>
    <mergeCell ref="A2:C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Presentacion</vt:lpstr>
      <vt:lpstr>Ejercicio 1</vt:lpstr>
      <vt:lpstr>Ejercicio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2022-02-09T09:43:18Z</dcterms:created>
  <dcterms:modified xsi:type="dcterms:W3CDTF">2022-02-10T12:24:00Z</dcterms:modified>
</cp:coreProperties>
</file>